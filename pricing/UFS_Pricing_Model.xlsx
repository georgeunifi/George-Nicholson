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 Calculator" sheetId="1" state="visible" r:id="rId3"/>
    <sheet name="Rate Card" sheetId="2" state="visible" r:id="rId4"/>
    <sheet name="Co Sec Menu" sheetId="3" state="visible" r:id="rId5"/>
    <sheet name="Competitor Research" sheetId="4" state="visible" r:id="rId6"/>
    <sheet name="Market Comparison" sheetId="5" state="visible" r:id="rId7"/>
    <sheet name="Same Client T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<sst xmlns="http://schemas.openxmlformats.org/spreadsheetml/2006/main" count="897" uniqueCount="542">
  <si>
    <t xml:space="preserve">Client Fee Quote</t>
  </si>
  <si>
    <t xml:space="preserve">Fill in the yellow cells. Everything else calculates from the Rate Card tab. Example values shown – overwrite for each client.</t>
  </si>
  <si>
    <t xml:space="preserve">CLIENT PROFILE</t>
  </si>
  <si>
    <t xml:space="preserve">Client name</t>
  </si>
  <si>
    <t xml:space="preserve">Example Ltd</t>
  </si>
  <si>
    <t xml:space="preserve">Entity type</t>
  </si>
  <si>
    <t xml:space="preserve">Limited Company</t>
  </si>
  <si>
    <t xml:space="preserve">Turnover band</t>
  </si>
  <si>
    <t xml:space="preserve">£90k–£250k</t>
  </si>
  <si>
    <t xml:space="preserve">Complexity</t>
  </si>
  <si>
    <t xml:space="preserve">Standard</t>
  </si>
  <si>
    <t xml:space="preserve">Record quality</t>
  </si>
  <si>
    <t xml:space="preserve">Average</t>
  </si>
  <si>
    <t xml:space="preserve">Bookkeeping transactions per month</t>
  </si>
  <si>
    <t xml:space="preserve">Bank/card accounts</t>
  </si>
  <si>
    <t xml:space="preserve">Invoices processed per month</t>
  </si>
  <si>
    <t xml:space="preserve">Multi-currency? (Y/N)</t>
  </si>
  <si>
    <t xml:space="preserve">N</t>
  </si>
  <si>
    <t xml:space="preserve">VAT scheme (None/Standard/Flat Rate)</t>
  </si>
  <si>
    <t xml:space="preserve">Partial exemption? (Y/N)</t>
  </si>
  <si>
    <t xml:space="preserve">Employees on payroll</t>
  </si>
  <si>
    <t xml:space="preserve">Pay frequency (Monthly/Weekly)</t>
  </si>
  <si>
    <t xml:space="preserve">Monthly</t>
  </si>
  <si>
    <t xml:space="preserve">Auto-enrolment pension? (Y/N)</t>
  </si>
  <si>
    <t xml:space="preserve">Y</t>
  </si>
  <si>
    <t xml:space="preserve">P11Ds per year</t>
  </si>
  <si>
    <t xml:space="preserve">CIS contractor? (Y/N)</t>
  </si>
  <si>
    <t xml:space="preserve">Subcontractors per month</t>
  </si>
  <si>
    <t xml:space="preserve">Directors/individuals needing SA returns</t>
  </si>
  <si>
    <t xml:space="preserve">Rental properties (total across returns)</t>
  </si>
  <si>
    <t xml:space="preserve">CGT disposals</t>
  </si>
  <si>
    <t xml:space="preserve">Returns with foreign income</t>
  </si>
  <si>
    <t xml:space="preserve">MTD ITSA quarterly updates per year</t>
  </si>
  <si>
    <t xml:space="preserve">Dividends declared per year</t>
  </si>
  <si>
    <t xml:space="preserve">Management accounts packs per year</t>
  </si>
  <si>
    <t xml:space="preserve">Registered office service? (Y/N)</t>
  </si>
  <si>
    <t xml:space="preserve">Pay annually upfront? (Y/N)</t>
  </si>
  <si>
    <t xml:space="preserve">Multiplier (complexity × records)</t>
  </si>
  <si>
    <t xml:space="preserve">Is a company? (CT600, sec, dividends)</t>
  </si>
  <si>
    <t xml:space="preserve">Service</t>
  </si>
  <si>
    <t xml:space="preserve">Include? (Y/N)</t>
  </si>
  <si>
    <t xml:space="preserve">Annual fee (£)</t>
  </si>
  <si>
    <t xml:space="preserve">Monthly equivalent (£)</t>
  </si>
  <si>
    <t xml:space="preserve">Basis</t>
  </si>
  <si>
    <t xml:space="preserve">Bookkeeping</t>
  </si>
  <si>
    <t xml:space="preserve">Base + extra transactions, accounts &amp; invoices × multiplier</t>
  </si>
  <si>
    <t xml:space="preserve">VAT returns</t>
  </si>
  <si>
    <t xml:space="preserve">4 quarterly returns</t>
  </si>
  <si>
    <t xml:space="preserve">Payroll</t>
  </si>
  <si>
    <t xml:space="preserve">Per run (min charge) + pension + P11Ds</t>
  </si>
  <si>
    <t xml:space="preserve">CIS returns</t>
  </si>
  <si>
    <t xml:space="preserve">Monthly CIS300</t>
  </si>
  <si>
    <t xml:space="preserve">Year-end accounts</t>
  </si>
  <si>
    <t xml:space="preserve">Entity × turnover table × multiplier</t>
  </si>
  <si>
    <t xml:space="preserve">Corporation tax return (CT600)</t>
  </si>
  <si>
    <t xml:space="preserve">Annual</t>
  </si>
  <si>
    <t xml:space="preserve">Partnership return (SA800)</t>
  </si>
  <si>
    <t xml:space="preserve">Self assessment returns</t>
  </si>
  <si>
    <t xml:space="preserve">Per return + add-ons</t>
  </si>
  <si>
    <t xml:space="preserve">MTD for Income Tax quarterly updates</t>
  </si>
  <si>
    <t xml:space="preserve">Per update</t>
  </si>
  <si>
    <t xml:space="preserve">Confirmation statement</t>
  </si>
  <si>
    <t xml:space="preserve">Fee + Companies House disbursement</t>
  </si>
  <si>
    <t xml:space="preserve">Registered office</t>
  </si>
  <si>
    <t xml:space="preserve">Dividend paperwork</t>
  </si>
  <si>
    <t xml:space="preserve">Per dividend</t>
  </si>
  <si>
    <t xml:space="preserve">Management accounts</t>
  </si>
  <si>
    <t xml:space="preserve">Per pack</t>
  </si>
  <si>
    <t xml:space="preserve">Recurring fees subtotal</t>
  </si>
  <si>
    <t xml:space="preserve">Minimum fee top-up</t>
  </si>
  <si>
    <t xml:space="preserve">Less: annual upfront discount</t>
  </si>
  <si>
    <t xml:space="preserve">Recurring fee (ex VAT)</t>
  </si>
  <si>
    <t xml:space="preserve">VAT</t>
  </si>
  <si>
    <t xml:space="preserve">RECURRING FEE INC VAT</t>
  </si>
  <si>
    <t xml:space="preserve">One-off / project work</t>
  </si>
  <si>
    <t xml:space="preserve">Quantity</t>
  </si>
  <si>
    <t xml:space="preserve">Fee (£)</t>
  </si>
  <si>
    <t xml:space="preserve">Unit price (£)</t>
  </si>
  <si>
    <t xml:space="preserve">Company formation</t>
  </si>
  <si>
    <t xml:space="preserve">VAT registration</t>
  </si>
  <si>
    <t xml:space="preserve">Alphabet share restructure</t>
  </si>
  <si>
    <t xml:space="preserve">Share transfer / allotment</t>
  </si>
  <si>
    <t xml:space="preserve">Dormant company accounts</t>
  </si>
  <si>
    <t xml:space="preserve">Cash flow forecast / budget</t>
  </si>
  <si>
    <t xml:space="preserve">R&amp;D tax claim</t>
  </si>
  <si>
    <t xml:space="preserve">Advisory hours</t>
  </si>
  <si>
    <t xml:space="preserve">Company secretarial items (Co Sec Menu tab)</t>
  </si>
  <si>
    <t xml:space="preserve">see tab</t>
  </si>
  <si>
    <t xml:space="preserve">One-off fees (ex VAT)</t>
  </si>
  <si>
    <t xml:space="preserve">One-off fees inc VAT</t>
  </si>
  <si>
    <t xml:space="preserve">Note: alphabet shares carry settlements-legislation and dividend-waiver risk – the restructure fee includes a short tax note; don't do the paperwork without it.</t>
  </si>
  <si>
    <t xml:space="preserve">UniFinancial Solutions – Rate Card (edit blue figures to set your prices)</t>
  </si>
  <si>
    <t xml:space="preserve">All prices exclude VAT. Blue = your input. Figures are starting suggestions based on typical UK small-practice fees – review against your own market.</t>
  </si>
  <si>
    <t xml:space="preserve">Base fee (includes transactions below)</t>
  </si>
  <si>
    <t xml:space="preserve">per month</t>
  </si>
  <si>
    <t xml:space="preserve">Transactions included in base</t>
  </si>
  <si>
    <t xml:space="preserve">Each additional transaction</t>
  </si>
  <si>
    <t xml:space="preserve">per transaction</t>
  </si>
  <si>
    <t xml:space="preserve">Each bank/card account beyond the first</t>
  </si>
  <si>
    <t xml:space="preserve">Multi-currency handling</t>
  </si>
  <si>
    <t xml:space="preserve">Sales/purchase invoice processing</t>
  </si>
  <si>
    <t xml:space="preserve">per invoice</t>
  </si>
  <si>
    <t xml:space="preserve">VAT return – standard/cash accounting</t>
  </si>
  <si>
    <t xml:space="preserve">per return</t>
  </si>
  <si>
    <t xml:space="preserve">VAT return – flat rate scheme</t>
  </si>
  <si>
    <t xml:space="preserve">Partial exemption calculations</t>
  </si>
  <si>
    <t xml:space="preserve">per year</t>
  </si>
  <si>
    <t xml:space="preserve">VAT registration (one-off)</t>
  </si>
  <si>
    <t xml:space="preserve">one-off</t>
  </si>
  <si>
    <t xml:space="preserve">Per employee per pay run</t>
  </si>
  <si>
    <t xml:space="preserve">per employee/run</t>
  </si>
  <si>
    <t xml:space="preserve">Minimum charge per pay run</t>
  </si>
  <si>
    <t xml:space="preserve">per run</t>
  </si>
  <si>
    <t xml:space="preserve">Pension auto-enrolment administration</t>
  </si>
  <si>
    <t xml:space="preserve">P11D per employee (incl. P11D(b))</t>
  </si>
  <si>
    <t xml:space="preserve">per P11D</t>
  </si>
  <si>
    <t xml:space="preserve">CIS monthly return</t>
  </si>
  <si>
    <t xml:space="preserve">Per subcontractor verified/paid</t>
  </si>
  <si>
    <t xml:space="preserve">per sub/month</t>
  </si>
  <si>
    <t xml:space="preserve">Tax returns</t>
  </si>
  <si>
    <t xml:space="preserve">Self assessment return – simple</t>
  </si>
  <si>
    <t xml:space="preserve">Add per rental property</t>
  </si>
  <si>
    <t xml:space="preserve">per property</t>
  </si>
  <si>
    <t xml:space="preserve">Add per capital gains disposal</t>
  </si>
  <si>
    <t xml:space="preserve">per disposal</t>
  </si>
  <si>
    <t xml:space="preserve">Add foreign income</t>
  </si>
  <si>
    <t xml:space="preserve">Partnership tax return (SA800)</t>
  </si>
  <si>
    <t xml:space="preserve">MTD for Income Tax quarterly update</t>
  </si>
  <si>
    <t xml:space="preserve">per update</t>
  </si>
  <si>
    <t xml:space="preserve">Company secretarial</t>
  </si>
  <si>
    <t xml:space="preserve">Confirmation statement (our fee)</t>
  </si>
  <si>
    <t xml:space="preserve">Companies House filing fee (disbursement – check current fee)</t>
  </si>
  <si>
    <t xml:space="preserve">Registered office address</t>
  </si>
  <si>
    <t xml:space="preserve">Dividend vouchers &amp; board minutes</t>
  </si>
  <si>
    <t xml:space="preserve">per dividend</t>
  </si>
  <si>
    <t xml:space="preserve">Management information</t>
  </si>
  <si>
    <t xml:space="preserve">Management accounts pack</t>
  </si>
  <si>
    <t xml:space="preserve">per pack</t>
  </si>
  <si>
    <t xml:space="preserve">per forecast</t>
  </si>
  <si>
    <t xml:space="preserve">Alphabet share restructure (articles, resolutions, filings, tax note)</t>
  </si>
  <si>
    <t xml:space="preserve">R&amp;D tax claim (minimum)</t>
  </si>
  <si>
    <t xml:space="preserve">per claim</t>
  </si>
  <si>
    <t xml:space="preserve">Advisory / ad hoc work</t>
  </si>
  <si>
    <t xml:space="preserve">per hour</t>
  </si>
  <si>
    <t xml:space="preserve">Adjustments</t>
  </si>
  <si>
    <t xml:space="preserve">Minimum monthly fee (all recurring services)</t>
  </si>
  <si>
    <t xml:space="preserve">Discount for annual fee paid upfront</t>
  </si>
  <si>
    <t xml:space="preserve">of recurring fee</t>
  </si>
  <si>
    <t xml:space="preserve">VAT charged on your fees (0% if not registered)</t>
  </si>
  <si>
    <t xml:space="preserve">rate</t>
  </si>
  <si>
    <t xml:space="preserve">Complexity multiplier</t>
  </si>
  <si>
    <t xml:space="preserve">Record quality multiplier</t>
  </si>
  <si>
    <t xml:space="preserve">Simple</t>
  </si>
  <si>
    <t xml:space="preserve">Good</t>
  </si>
  <si>
    <t xml:space="preserve">Complex</t>
  </si>
  <si>
    <t xml:space="preserve">Poor</t>
  </si>
  <si>
    <t xml:space="preserve">Year-end accounts fee by entity and turnover</t>
  </si>
  <si>
    <t xml:space="preserve">Entity</t>
  </si>
  <si>
    <t xml:space="preserve">Under £90k</t>
  </si>
  <si>
    <t xml:space="preserve">£250k–£500k</t>
  </si>
  <si>
    <t xml:space="preserve">£500k–£1m</t>
  </si>
  <si>
    <t xml:space="preserve">Over £1m</t>
  </si>
  <si>
    <t xml:space="preserve">Sole Trader</t>
  </si>
  <si>
    <t xml:space="preserve">Partnership</t>
  </si>
  <si>
    <t xml:space="preserve">LLP</t>
  </si>
  <si>
    <t xml:space="preserve">Landlord (property only)</t>
  </si>
  <si>
    <t xml:space="preserve">Company secretarial menu – FCLS supplier costs (Price List Feb 2026) with your resale price</t>
  </si>
  <si>
    <t xml:space="preserve">Your markup on FCLS cost</t>
  </si>
  <si>
    <t xml:space="preserve">Round resale price up to nearest £</t>
  </si>
  <si>
    <t xml:space="preserve">Enter quantities in column H for a client quote; the total feeds the Quote Calculator one-off section →</t>
  </si>
  <si>
    <t xml:space="preserve">Quote total (ex VAT)</t>
  </si>
  <si>
    <t xml:space="preserve">Category</t>
  </si>
  <si>
    <t xml:space="preserve">FCLS price</t>
  </si>
  <si>
    <t xml:space="preserve">FCLS VAT basis</t>
  </si>
  <si>
    <t xml:space="preserve">FCLS cost ex VAT</t>
  </si>
  <si>
    <t xml:space="preserve">Your resale price (ex VAT)</t>
  </si>
  <si>
    <t xml:space="preserve">Line total</t>
  </si>
  <si>
    <t xml:space="preserve">Qty</t>
  </si>
  <si>
    <t xml:space="preserve">Your current Rate Card price</t>
  </si>
  <si>
    <t xml:space="preserve">Note</t>
  </si>
  <si>
    <t xml:space="preserve">Private Limited</t>
  </si>
  <si>
    <t xml:space="preserve">inc VAT</t>
  </si>
  <si>
    <t xml:space="preserve">Includes Companies House fee (no VAT on that part) – ex-VAT cost is approximate</t>
  </si>
  <si>
    <t xml:space="preserve">Flat Management</t>
  </si>
  <si>
    <t xml:space="preserve">Charity</t>
  </si>
  <si>
    <t xml:space="preserve">Guarantee</t>
  </si>
  <si>
    <t xml:space="preserve">PLC</t>
  </si>
  <si>
    <t xml:space="preserve">CIC</t>
  </si>
  <si>
    <t xml:space="preserve">Right to Manage</t>
  </si>
  <si>
    <t xml:space="preserve">CIO</t>
  </si>
  <si>
    <t xml:space="preserve">Unlimited</t>
  </si>
  <si>
    <t xml:space="preserve">LP</t>
  </si>
  <si>
    <t xml:space="preserve">B-Corp</t>
  </si>
  <si>
    <t xml:space="preserve">Ready Made company</t>
  </si>
  <si>
    <t xml:space="preserve">Add-on: additional share class</t>
  </si>
  <si>
    <t xml:space="preserve">Add-on: optional clauses</t>
  </si>
  <si>
    <t xml:space="preserve">Add-on: guaranteed same day</t>
  </si>
  <si>
    <t xml:space="preserve">Add-on: registers, certificates &amp; minutes – paper</t>
  </si>
  <si>
    <t xml:space="preserve">Add-on: registers, certificates &amp; minutes – electronic</t>
  </si>
  <si>
    <t xml:space="preserve">Add-on: register for unlimited</t>
  </si>
  <si>
    <t xml:space="preserve">Share &amp; capital work</t>
  </si>
  <si>
    <t xml:space="preserve">Share restructure – standard class shares (e.g. alphabet shares)</t>
  </si>
  <si>
    <t xml:space="preserve">ex VAT</t>
  </si>
  <si>
    <t xml:space="preserve">FCLS does the legal paperwork only – your £450 also covers the tax note</t>
  </si>
  <si>
    <t xml:space="preserve">Share restructure with allotments and/or transfers</t>
  </si>
  <si>
    <t xml:space="preserve">Share restructure incl. bonus issue or sub-division</t>
  </si>
  <si>
    <t xml:space="preserve">Share restructure incl. redeemable preference shares</t>
  </si>
  <si>
    <t xml:space="preserve">Purchase of own shares</t>
  </si>
  <si>
    <t xml:space="preserve">Purchase of own shares – out of cash with articles</t>
  </si>
  <si>
    <t xml:space="preserve">Purchase of own shares – out of capital</t>
  </si>
  <si>
    <t xml:space="preserve">Reduction of capital</t>
  </si>
  <si>
    <t xml:space="preserve">Share for share exchange</t>
  </si>
  <si>
    <t xml:space="preserve">Sub-division or consolidation</t>
  </si>
  <si>
    <t xml:space="preserve">Redemption</t>
  </si>
  <si>
    <t xml:space="preserve">Bonus or rights issue</t>
  </si>
  <si>
    <t xml:space="preserve">Allotment</t>
  </si>
  <si>
    <t xml:space="preserve">Transfer</t>
  </si>
  <si>
    <t xml:space="preserve">Other company services</t>
  </si>
  <si>
    <t xml:space="preserve">Update of articles</t>
  </si>
  <si>
    <t xml:space="preserve">Electronic change of name</t>
  </si>
  <si>
    <t xml:space="preserve">Simultaneous change of name</t>
  </si>
  <si>
    <t xml:space="preserve">Re-registration / conversion</t>
  </si>
  <si>
    <t xml:space="preserve">Reconstruction of statutory registers</t>
  </si>
  <si>
    <t xml:space="preserve">POA</t>
  </si>
  <si>
    <t xml:space="preserve">Typesetting of articles</t>
  </si>
  <si>
    <t xml:space="preserve">Company health check</t>
  </si>
  <si>
    <t xml:space="preserve">Certificate of good standing – apostille</t>
  </si>
  <si>
    <t xml:space="preserve">Administrative restoration (plus disbursements)</t>
  </si>
  <si>
    <t xml:space="preserve">Court restoration (plus disbursements)</t>
  </si>
  <si>
    <t xml:space="preserve">Company ratification service</t>
  </si>
  <si>
    <t xml:space="preserve">Law stationery</t>
  </si>
  <si>
    <t xml:space="preserve">Loose-leaf ring binder with slip cover</t>
  </si>
  <si>
    <t xml:space="preserve">Hand plier seal</t>
  </si>
  <si>
    <t xml:space="preserve">Loose-leaf ring binder</t>
  </si>
  <si>
    <t xml:space="preserve">Bound copy of articles (per copy)</t>
  </si>
  <si>
    <t xml:space="preserve">Soft bound register</t>
  </si>
  <si>
    <t xml:space="preserve">ECCTA identity verification</t>
  </si>
  <si>
    <t xml:space="preserve">Verification &amp; registration</t>
  </si>
  <si>
    <t xml:space="preserve">Manual verification</t>
  </si>
  <si>
    <t xml:space="preserve">PSCVS01 filing</t>
  </si>
  <si>
    <t xml:space="preserve">Secretarial software &amp; outsourcing</t>
  </si>
  <si>
    <t xml:space="preserve">First Order secretarial software (from, per company)</t>
  </si>
  <si>
    <t xml:space="preserve">Secretarial outsourcing (from, per company)</t>
  </si>
  <si>
    <t xml:space="preserve">Nominee services</t>
  </si>
  <si>
    <t xml:space="preserve">Nominee secretary</t>
  </si>
  <si>
    <t xml:space="preserve">Nominee shareholder</t>
  </si>
  <si>
    <t xml:space="preserve">Nominee director</t>
  </si>
  <si>
    <t xml:space="preserve">Agreements</t>
  </si>
  <si>
    <t xml:space="preserve">Shareholder agreement</t>
  </si>
  <si>
    <t xml:space="preserve">Loan agreement</t>
  </si>
  <si>
    <t xml:space="preserve">Partnership agreement</t>
  </si>
  <si>
    <t xml:space="preserve">Company searches</t>
  </si>
  <si>
    <t xml:space="preserve">Winding up search</t>
  </si>
  <si>
    <t xml:space="preserve">Full search and winding up search</t>
  </si>
  <si>
    <t xml:space="preserve">Full search with accounts</t>
  </si>
  <si>
    <t xml:space="preserve">Full search without accounts</t>
  </si>
  <si>
    <t xml:space="preserve">Latest accounts or annual return</t>
  </si>
  <si>
    <t xml:space="preserve">Latest accounts and annual return</t>
  </si>
  <si>
    <t xml:space="preserve">Copy of memorandum &amp; articles</t>
  </si>
  <si>
    <t xml:space="preserve">Conveyancing search – under 50 charges</t>
  </si>
  <si>
    <t xml:space="preserve">Conveyancing search – over 50 charges</t>
  </si>
  <si>
    <t xml:space="preserve">Directors search</t>
  </si>
  <si>
    <t xml:space="preserve">Registered office search</t>
  </si>
  <si>
    <t xml:space="preserve">Credit report</t>
  </si>
  <si>
    <t xml:space="preserve">International searches and IP</t>
  </si>
  <si>
    <t xml:space="preserve">Additional filing services</t>
  </si>
  <si>
    <t xml:space="preserve">Filing of confirmation statement</t>
  </si>
  <si>
    <t xml:space="preserve">Your fee shown excludes the Companies House fee</t>
  </si>
  <si>
    <t xml:space="preserve">Filing of DS01 to dissolve company</t>
  </si>
  <si>
    <t xml:space="preserve">Appointment of director/secretary</t>
  </si>
  <si>
    <t xml:space="preserve">Resignation of director/secretary</t>
  </si>
  <si>
    <t xml:space="preserve">Change of address (company or person)</t>
  </si>
  <si>
    <t xml:space="preserve">Second filing of an incorrect document</t>
  </si>
  <si>
    <t xml:space="preserve">Share certificate (PDF, each)</t>
  </si>
  <si>
    <t xml:space="preserve">Correspondence address at Companies House (per person)</t>
  </si>
  <si>
    <t xml:space="preserve">PSC change (single)</t>
  </si>
  <si>
    <t xml:space="preserve">Each additional PSC change</t>
  </si>
  <si>
    <t xml:space="preserve">Correction of date of birth (each)</t>
  </si>
  <si>
    <t xml:space="preserve">Correction of date of birth (both PSC &amp; director)</t>
  </si>
  <si>
    <t xml:space="preserve">PSC &amp; director appointment</t>
  </si>
  <si>
    <t xml:space="preserve">Director AND PSC verification, registration &amp; appointment</t>
  </si>
  <si>
    <t xml:space="preserve">Director OR PSC verification, registration &amp; appointment</t>
  </si>
  <si>
    <t xml:space="preserve">Dormant accounts filing</t>
  </si>
  <si>
    <t xml:space="preserve">Your £150 includes preparing the accounts</t>
  </si>
  <si>
    <t xml:space="preserve">Registered office and confirmation statement filing</t>
  </si>
  <si>
    <t xml:space="preserve">Source: FCLS Price List 2026 (Feb 26), supplied by George. FCLS prices marked 'inc VAT' are converted at 20%; formations also include the Companies House fee, so their ex-VAT cost is approximate. POA = price on application.</t>
  </si>
  <si>
    <t xml:space="preserve">Hertfordshire competitor pricing research (gathered 23–24 Oct 2026 from public web pages)</t>
  </si>
  <si>
    <t xml:space="preserve">Figures are advertised 'from' prices or published ranges, ex VAT unless stated. Not verified with the firms – treat as indicative and re-check before relying on them.</t>
  </si>
  <si>
    <t xml:space="preserve">Firm / source</t>
  </si>
  <si>
    <t xml:space="preserve">Area</t>
  </si>
  <si>
    <t xml:space="preserve">Type</t>
  </si>
  <si>
    <t xml:space="preserve">Pricing model</t>
  </si>
  <si>
    <t xml:space="preserve">Sole trader</t>
  </si>
  <si>
    <t xml:space="preserve">Limited company</t>
  </si>
  <si>
    <t xml:space="preserve">Self assessment</t>
  </si>
  <si>
    <t xml:space="preserve">Other</t>
  </si>
  <si>
    <t xml:space="preserve">What to learn</t>
  </si>
  <si>
    <t xml:space="preserve">Source</t>
  </si>
  <si>
    <t xml:space="preserve">A-Wise Accountants</t>
  </si>
  <si>
    <t xml:space="preserve">Hertford, Hatfield, Hemel, Watford, WGC, Hitchin</t>
  </si>
  <si>
    <t xml:space="preserve">Online/low-cost chain (town landing pages)</t>
  </si>
  <si>
    <t xml:space="preserve">Headline monthly package with 'was/now' discount</t>
  </si>
  <si>
    <t xml:space="preserve">From £10/m (shown discounted to £5)</t>
  </si>
  <si>
    <t xml:space="preserve">From £40/m (shown discounted to £20)</t>
  </si>
  <si>
    <t xml:space="preserve">Not published</t>
  </si>
  <si>
    <t xml:space="preserve">Same page cloned per town for local SEO</t>
  </si>
  <si>
    <t xml:space="preserve">Low anchor price wins clicks; the real fee comes from add-ons. Expect clients to quote '£20 a month' at you – show what's excluded.</t>
  </si>
  <si>
    <t xml:space="preserve">https://a-wise.co.uk/accountants-in-hertford/</t>
  </si>
  <si>
    <t xml:space="preserve">RSBC</t>
  </si>
  <si>
    <t xml:space="preserve">St Albans, Hitchin, WGC</t>
  </si>
  <si>
    <t xml:space="preserve">Online/low-cost chain</t>
  </si>
  <si>
    <t xml:space="preserve">Tiered monthly packages</t>
  </si>
  <si>
    <t xml:space="preserve">£35/m + VAT</t>
  </si>
  <si>
    <t xml:space="preserve">£40/m + VAT</t>
  </si>
  <si>
    <t xml:space="preserve">Included in packages (scope unclear)</t>
  </si>
  <si>
    <t xml:space="preserve">Package from £35/m</t>
  </si>
  <si>
    <t xml:space="preserve">'From £10 pm' headline</t>
  </si>
  <si>
    <t xml:space="preserve">Two simple price points by entity type – easy for a client to understand and buy online.</t>
  </si>
  <si>
    <t xml:space="preserve">https://www.rsbc.uk/accountants-in-st-albans</t>
  </si>
  <si>
    <t xml:space="preserve">Mazuma (via St Albans page)</t>
  </si>
  <si>
    <t xml:space="preserve">St Albans</t>
  </si>
  <si>
    <t xml:space="preserve">National online bookkeeping</t>
  </si>
  <si>
    <t xml:space="preserve">Fixed monthly bookkeeping</t>
  </si>
  <si>
    <t xml:space="preserve">—</t>
  </si>
  <si>
    <t xml:space="preserve">From £38/m + VAT</t>
  </si>
  <si>
    <t xml:space="preserve">Page ~2 years old</t>
  </si>
  <si>
    <t xml:space="preserve">Bookkeeping as a standalone subscription, not bundled.</t>
  </si>
  <si>
    <t xml:space="preserve">https://www.yourstalbansaccountants.co.uk/bookkeeping</t>
  </si>
  <si>
    <t xml:space="preserve">St Albans fixed-fee SA provider</t>
  </si>
  <si>
    <t xml:space="preserve">Specialist / directory</t>
  </si>
  <si>
    <t xml:space="preserve">Fixed fee per return, tiered by client type</t>
  </si>
  <si>
    <t xml:space="preserve">£199 simple; £249 landlord; £299 company director (+VAT)</t>
  </si>
  <si>
    <t xml:space="preserve">Another St Albans firm: £136 all-in</t>
  </si>
  <si>
    <t xml:space="preserve">Tiering SA by client type (simple / landlord / director) is a clean model – UFS uses add-ons instead.</t>
  </si>
  <si>
    <t xml:space="preserve">https://selfassessmenttaxreturn.accountants/self-assessment-tax-return-in-st-albans/</t>
  </si>
  <si>
    <t xml:space="preserve">DiGiFiLiNG</t>
  </si>
  <si>
    <t xml:space="preserve">Online</t>
  </si>
  <si>
    <t xml:space="preserve">Fixed fee</t>
  </si>
  <si>
    <t xml:space="preserve">From £199</t>
  </si>
  <si>
    <t xml:space="preserve">Confirms ~£199 as the local anchor for a simple return.</t>
  </si>
  <si>
    <t xml:space="preserve">https://digifiling.co.uk/areas-we-serve/small-business-tax-accountant-in-st-albans-uk/</t>
  </si>
  <si>
    <t xml:space="preserve">Stevenage SA specialist</t>
  </si>
  <si>
    <t xml:space="preserve">Stevenage</t>
  </si>
  <si>
    <t xml:space="preserve">Specialist</t>
  </si>
  <si>
    <t xml:space="preserve">Fixed fee, filed before 31 Jan</t>
  </si>
  <si>
    <t xml:space="preserve">From £199 + VAT</t>
  </si>
  <si>
    <t xml:space="preserve">Same £199 anchor.</t>
  </si>
  <si>
    <t xml:space="preserve">https://selfassessmenttaxreturn.accountants/self-assessment-tax-return-in-stevenage/</t>
  </si>
  <si>
    <t xml:space="preserve">WGC bookkeeping firm</t>
  </si>
  <si>
    <t xml:space="preserve">Welwyn Garden City</t>
  </si>
  <si>
    <t xml:space="preserve">Local bookkeeper</t>
  </si>
  <si>
    <t xml:space="preserve">Hours-capped monthly package</t>
  </si>
  <si>
    <t xml:space="preserve">£79/m + VAT for up to 4 hrs (software extra)</t>
  </si>
  <si>
    <t xml:space="preserve">Capping by hours protects margin on messy clients – an alternative to UFS's per-transaction model.</t>
  </si>
  <si>
    <t xml:space="preserve">https://bookkeepingservices.accountants/small-businesses/welwyn-garden-city/</t>
  </si>
  <si>
    <t xml:space="preserve">WGC/St Albans hourly bookkeeper</t>
  </si>
  <si>
    <t xml:space="preserve">WGC / St Albans</t>
  </si>
  <si>
    <t xml:space="preserve">Hourly then move to fixed</t>
  </si>
  <si>
    <t xml:space="preserve">Fixed Ltd package from £149/m</t>
  </si>
  <si>
    <t xml:space="preserve">£15/hr + VAT</t>
  </si>
  <si>
    <t xml:space="preserve">Start hourly to learn the client's volume, then fix the fee – good for onboarding unknown clients.</t>
  </si>
  <si>
    <t xml:space="preserve">https://bookkeepingservices.accountants/bookkeeping-services/st-albans/</t>
  </si>
  <si>
    <t xml:space="preserve">Hertfordshire listing/directory</t>
  </si>
  <si>
    <t xml:space="preserve">Hertfordshire</t>
  </si>
  <si>
    <t xml:space="preserve">Directory price list</t>
  </si>
  <si>
    <t xml:space="preserve">Itemised menu</t>
  </si>
  <si>
    <t xml:space="preserve">£89/qtr + VAT</t>
  </si>
  <si>
    <t xml:space="preserve">£29/m + VAT up to 3 staff; +£10/m each extra</t>
  </si>
  <si>
    <t xml:space="preserve">Confirmation statement £92 + VAT</t>
  </si>
  <si>
    <t xml:space="preserve">An itemised menu makes add-ons visible and easy to upsell.</t>
  </si>
  <si>
    <t xml:space="preserve">https://www.accountingfirms.co.uk/app/services/payroll-services-in-hertfordshire</t>
  </si>
  <si>
    <t xml:space="preserve">Herts Accountants (blog)</t>
  </si>
  <si>
    <t xml:space="preserve">Chartered firm</t>
  </si>
  <si>
    <t xml:space="preserve">Fixed annual fee bundle</t>
  </si>
  <si>
    <t xml:space="preserve">SA £150–£500/yr</t>
  </si>
  <si>
    <t xml:space="preserve">Accounts £500–£1,500/yr</t>
  </si>
  <si>
    <t xml:space="preserve">£150–£500</t>
  </si>
  <si>
    <t xml:space="preserve">£75–£200/qtr</t>
  </si>
  <si>
    <t xml:space="preserve">£5–£15 per employee/m</t>
  </si>
  <si>
    <t xml:space="preserve">No public monthly price – quote only</t>
  </si>
  <si>
    <t xml:space="preserve">Traditional firms hide price and sell on one agreed fixed fee covering everything.</t>
  </si>
  <si>
    <t xml:space="preserve">https://hertsaccountants.co.uk/blog/how-much-should-you-pay-accountant</t>
  </si>
  <si>
    <t xml:space="preserve">Blossom Accountants</t>
  </si>
  <si>
    <t xml:space="preserve">Estimate ranges</t>
  </si>
  <si>
    <t xml:space="preserve">~£30/m</t>
  </si>
  <si>
    <t xml:space="preserve">Up to £150+/m</t>
  </si>
  <si>
    <t xml:space="preserve">Says Herts sits mid-market</t>
  </si>
  <si>
    <t xml:space="preserve">https://blossomaccountants.co.uk/hertfordshire/</t>
  </si>
  <si>
    <t xml:space="preserve">VerifiedAccountants guide</t>
  </si>
  <si>
    <t xml:space="preserve">Hertfordshire / Hemel / WGC</t>
  </si>
  <si>
    <t xml:space="preserve">Fee guide</t>
  </si>
  <si>
    <t xml:space="preserve">Market ranges</t>
  </si>
  <si>
    <t xml:space="preserve">Accounts + CT £750–£2,000/yr</t>
  </si>
  <si>
    <t xml:space="preserve">£150–£400 (most £200–£350)</t>
  </si>
  <si>
    <t xml:space="preserve">£100–£500/m</t>
  </si>
  <si>
    <t xml:space="preserve">£100–£300/qtr</t>
  </si>
  <si>
    <t xml:space="preserve">£50–£100/m minimum + £5–£15 per employee</t>
  </si>
  <si>
    <t xml:space="preserve">Monthly packages £100–£300; £300–£600 with bookkeeping, VAT, payroll</t>
  </si>
  <si>
    <t xml:space="preserve">Most useful benchmark for full-service fees.</t>
  </si>
  <si>
    <t xml:space="preserve">https://verifiedaccountants.co.uk/guides/accountant-cost/hertfordshire</t>
  </si>
  <si>
    <t xml:space="preserve">Bizhub365 guide</t>
  </si>
  <si>
    <t xml:space="preserve">Watford</t>
  </si>
  <si>
    <t xml:space="preserve">£1,500–£3,500/yr</t>
  </si>
  <si>
    <t xml:space="preserve">£150–£300</t>
  </si>
  <si>
    <t xml:space="preserve">Hourly £50–£200 (Watford firm)</t>
  </si>
  <si>
    <t xml:space="preserve">Watford, nearer London, prices higher.</t>
  </si>
  <si>
    <t xml:space="preserve">https://www.bizhub365.com/find/accountant/watford/cost/</t>
  </si>
  <si>
    <t xml:space="preserve">KE Accounting Solutions</t>
  </si>
  <si>
    <t xml:space="preserve">Stevenage / Hertfordshire</t>
  </si>
  <si>
    <t xml:space="preserve">Local bookkeeping &amp; accounts firm</t>
  </si>
  <si>
    <t xml:space="preserve">Tiered monthly packages by business size</t>
  </si>
  <si>
    <t xml:space="preserve">£400/m basic Ltd (no staff); £750/m multi-staff payroll; £1,500/m full AP/AR &amp; credit control</t>
  </si>
  <si>
    <t xml:space="preserve">Hourly from £35/hr; entry packages from £150/m</t>
  </si>
  <si>
    <t xml:space="preserve">Included in tiers</t>
  </si>
  <si>
    <t xml:space="preserve">Xero/QuickBooks setup</t>
  </si>
  <si>
    <t xml:space="preserve">Premium positioning – sells outsourced finance function, not compliance. Shows the ceiling of the local market.</t>
  </si>
  <si>
    <t xml:space="preserve">https://keaccountingsolutions.co.uk/hertfordshire</t>
  </si>
  <si>
    <t xml:space="preserve">QK Accounts</t>
  </si>
  <si>
    <t xml:space="preserve">Beds / Herts / Bucks</t>
  </si>
  <si>
    <t xml:space="preserve">Online/regional</t>
  </si>
  <si>
    <t xml:space="preserve">Bronze/Silver/Gold bundles</t>
  </si>
  <si>
    <t xml:space="preserve">Bronze £75/m (accounts, VAT, payroll up to 5); Silver £140/m; Gold £250/m</t>
  </si>
  <si>
    <t xml:space="preserve">Standalone from £25/m</t>
  </si>
  <si>
    <t xml:space="preserve">Standalone £150/qtr</t>
  </si>
  <si>
    <t xml:space="preserve">Up to 5 staff in Bronze</t>
  </si>
  <si>
    <t xml:space="preserve">Free QuickBooks licence; Silver/Gold add monthly management meeting</t>
  </si>
  <si>
    <t xml:space="preserve">Good-better-best tiers with a 'meeting' upsell. Bundling VAT+payroll makes standalone VAT (£150) look expensive.</t>
  </si>
  <si>
    <t xml:space="preserve">https://www.qkaccounts.com/</t>
  </si>
  <si>
    <t xml:space="preserve">Connected Accounting (Bark)</t>
  </si>
  <si>
    <t xml:space="preserve">Online, Xero partner</t>
  </si>
  <si>
    <t xml:space="preserve">Two flat packages</t>
  </si>
  <si>
    <t xml:space="preserve">£49/m + VAT (also landlords)</t>
  </si>
  <si>
    <t xml:space="preserve">£99/m + VAT</t>
  </si>
  <si>
    <t xml:space="preserve">Included</t>
  </si>
  <si>
    <t xml:space="preserve">Not stated</t>
  </si>
  <si>
    <t xml:space="preserve">Simple two-price model, landlords priced same as sole traders.</t>
  </si>
  <si>
    <t xml:space="preserve">https://www.bark.com/en/gb/bookkeeping-services/hertfordshire/</t>
  </si>
  <si>
    <t xml:space="preserve">Hertford hourly bookkeeper</t>
  </si>
  <si>
    <t xml:space="preserve">Hertford</t>
  </si>
  <si>
    <t xml:space="preserve">Hourly, no contract</t>
  </si>
  <si>
    <t xml:space="preserve">£15/hr + VAT (Xero/QB/Sage)</t>
  </si>
  <si>
    <t xml:space="preserve">No monthly contract</t>
  </si>
  <si>
    <t xml:space="preserve">Low hourly rate – sets client expectation for basic data entry.</t>
  </si>
  <si>
    <t xml:space="preserve">https://bookkeepingservices.accountants/bookkeeping-services/hertford/</t>
  </si>
  <si>
    <t xml:space="preserve">Bishop's Stortford directory</t>
  </si>
  <si>
    <t xml:space="preserve">Bishop's Stortford</t>
  </si>
  <si>
    <t xml:space="preserve">Directory average</t>
  </si>
  <si>
    <t xml:space="preserve">Entry monthly price</t>
  </si>
  <si>
    <t xml:space="preserve">From £60/m + VAT</t>
  </si>
  <si>
    <t xml:space="preserve">From £95/m + VAT</t>
  </si>
  <si>
    <t xml:space="preserve">£150–£400/yr</t>
  </si>
  <si>
    <t xml:space="preserve">Basic Ltd accounts £700–£1,200/yr</t>
  </si>
  <si>
    <t xml:space="preserve">East Herts entry prices sit above the online chains.</t>
  </si>
  <si>
    <t xml:space="preserve">https://businessfinancing.co.uk/accounting/bishops-stortford-accountants/</t>
  </si>
  <si>
    <t xml:space="preserve">Landlord specialist</t>
  </si>
  <si>
    <t xml:space="preserve">Niche specialist</t>
  </si>
  <si>
    <t xml:space="preserve">Monthly retainer</t>
  </si>
  <si>
    <t xml:space="preserve">Landlords £100–£300/m</t>
  </si>
  <si>
    <t xml:space="preserve">Niche specialists charge well above general firms – landlord niche worth considering.</t>
  </si>
  <si>
    <t xml:space="preserve">https://accountants-for-landlords.co.uk/near-me/hertfordshire-bishops-stortford/</t>
  </si>
  <si>
    <t xml:space="preserve">Mazuma</t>
  </si>
  <si>
    <t xml:space="preserve">National online</t>
  </si>
  <si>
    <t xml:space="preserve">Monthly plans by turnover</t>
  </si>
  <si>
    <t xml:space="preserve">£98–£140/m + VAT (~£1,176/yr+)</t>
  </si>
  <si>
    <t xml:space="preserve">National online benchmark for a full Ltd package.</t>
  </si>
  <si>
    <t xml:space="preserve">https://taxroot.co.uk/blog/best-online-accountant-uk-2026</t>
  </si>
  <si>
    <t xml:space="preserve">Crunch</t>
  </si>
  <si>
    <t xml:space="preserve">Monthly subscription + one-off SA</t>
  </si>
  <si>
    <t xml:space="preserve">From £27/m + VAT</t>
  </si>
  <si>
    <t xml:space="preserve">Not stated in source</t>
  </si>
  <si>
    <t xml:space="preserve">£200 + VAT (rises near Jan deadline)</t>
  </si>
  <si>
    <t xml:space="preserve">Software-led</t>
  </si>
  <si>
    <t xml:space="preserve">Deadline surge pricing</t>
  </si>
  <si>
    <t xml:space="preserve">Charging more for late SA work rewards early clients and covers January overtime.</t>
  </si>
  <si>
    <t xml:space="preserve">Aardvark Accounting</t>
  </si>
  <si>
    <t xml:space="preserve">Monthly package</t>
  </si>
  <si>
    <t xml:space="preserve">£89/m + VAT</t>
  </si>
  <si>
    <t xml:space="preserve">TaxRoot</t>
  </si>
  <si>
    <t xml:space="preserve">Annual compliance-only</t>
  </si>
  <si>
    <t xml:space="preserve">From £389/yr (accounts, CT, CT600)</t>
  </si>
  <si>
    <t xml:space="preserve">Compliance-only pricing – the absolute floor for Ltd year-end.</t>
  </si>
  <si>
    <t xml:space="preserve">Price Bailey</t>
  </si>
  <si>
    <t xml:space="preserve">Large regional chartered firm</t>
  </si>
  <si>
    <t xml:space="preserve">Bespoke quote</t>
  </si>
  <si>
    <t xml:space="preserve">Large firms don't publish prices – they compete on expertise and advisory.</t>
  </si>
  <si>
    <t xml:space="preserve">https://www.pricebailey.co.uk/locations/bishops-stortford/</t>
  </si>
  <si>
    <t xml:space="preserve">UFS prices vs Hertfordshire market (ex VAT)</t>
  </si>
  <si>
    <t xml:space="preserve">Blue = market figures from Competitor Research tab. Green = live link to your Rate Card, so this updates when you change your prices.</t>
  </si>
  <si>
    <t xml:space="preserve">Unit</t>
  </si>
  <si>
    <t xml:space="preserve">Market low</t>
  </si>
  <si>
    <t xml:space="preserve">Market typical</t>
  </si>
  <si>
    <t xml:space="preserve">Market high</t>
  </si>
  <si>
    <t xml:space="preserve">UFS price</t>
  </si>
  <si>
    <t xml:space="preserve">Position</t>
  </si>
  <si>
    <t xml:space="preserve">UFS vs typical</t>
  </si>
  <si>
    <t xml:space="preserve">Evidence</t>
  </si>
  <si>
    <t xml:space="preserve">Self assessment – simple</t>
  </si>
  <si>
    <t xml:space="preserve">£136 all-in / £199 x3 local firms / guide £150–£400</t>
  </si>
  <si>
    <t xml:space="preserve">Self assessment – landlord (1 property)</t>
  </si>
  <si>
    <t xml:space="preserve">£249 St Albans; guide range</t>
  </si>
  <si>
    <t xml:space="preserve">Ltd accounts + CT600 (turnover £90k–£250k)</t>
  </si>
  <si>
    <t xml:space="preserve">Herts/Hemel guide £750–£2,000; Herts Accountants £500–£1,500 accounts only</t>
  </si>
  <si>
    <t xml:space="preserve">Ltd accounts + CT600 (under £90k)</t>
  </si>
  <si>
    <t xml:space="preserve">Herts Accountants accounts £500+; guide £750+</t>
  </si>
  <si>
    <t xml:space="preserve">VAT return</t>
  </si>
  <si>
    <t xml:space="preserve">per quarter</t>
  </si>
  <si>
    <t xml:space="preserve">£75–£200 Herts Accountants; £89 listing; guide £100–£300</t>
  </si>
  <si>
    <t xml:space="preserve">Payroll – per employee</t>
  </si>
  <si>
    <t xml:space="preserve">per employee/month</t>
  </si>
  <si>
    <t xml:space="preserve">£5–£15 guide and Herts Accountants; £10 extra staff on listing</t>
  </si>
  <si>
    <t xml:space="preserve">Payroll – minimum monthly</t>
  </si>
  <si>
    <t xml:space="preserve">£29 listing (up to 3 staff); guide £50–£100 minimum</t>
  </si>
  <si>
    <t xml:space="preserve">Confirmation statement (your fee)</t>
  </si>
  <si>
    <t xml:space="preserve">£50 + filing fee; £92 listing</t>
  </si>
  <si>
    <t xml:space="preserve">Bookkeeping – entry level</t>
  </si>
  <si>
    <t xml:space="preserve">£35 RSBC; £38 Mazuma; £79 (4 hrs) WGC; £149 Ltd fixed</t>
  </si>
  <si>
    <t xml:space="preserve">Bookkeeping – fuller service</t>
  </si>
  <si>
    <t xml:space="preserve">Guide £100–£500/m. UFS figure = base + 120 tx/month</t>
  </si>
  <si>
    <t xml:space="preserve">Ad hoc / advisory</t>
  </si>
  <si>
    <t xml:space="preserve">Watford £50–£200/hr</t>
  </si>
  <si>
    <t xml:space="preserve">Facebook group: £350–£450 accountants; £630 solicitor</t>
  </si>
  <si>
    <t xml:space="preserve">Same client, priced under each competitor's model</t>
  </si>
  <si>
    <t xml:space="preserve">Client: Ltd company, £90k–£250k turnover, VAT registered, 3 staff on monthly payroll, 2 director SA returns, 120 transactions/month. Where a firm doesn't publish a fee, the market typical from Market Comparison is used (marked 'assumed').</t>
  </si>
  <si>
    <t xml:space="preserve">Firm / model</t>
  </si>
  <si>
    <t xml:space="preserve">Bookkeeping /yr</t>
  </si>
  <si>
    <t xml:space="preserve">VAT /yr</t>
  </si>
  <si>
    <t xml:space="preserve">Payroll /yr</t>
  </si>
  <si>
    <t xml:space="preserve">SA x2 /yr</t>
  </si>
  <si>
    <t xml:space="preserve">Annual total (ex VAT)</t>
  </si>
  <si>
    <t xml:space="preserve">Notes</t>
  </si>
  <si>
    <t xml:space="preserve">UFS (your Quote Calculator)</t>
  </si>
  <si>
    <t xml:space="preserve">Your full recurring quote for the example client</t>
  </si>
  <si>
    <t xml:space="preserve">RSBC-style low-cost package</t>
  </si>
  <si>
    <t xml:space="preserve">Package £40/m; add-ons assumed at market typical</t>
  </si>
  <si>
    <t xml:space="preserve">A-Wise headline (discounted)</t>
  </si>
  <si>
    <t xml:space="preserve">£20/m headline; add-ons assumed</t>
  </si>
  <si>
    <t xml:space="preserve">Itemised menu (Herts listing)</t>
  </si>
  <si>
    <t xml:space="preserve">£89 VAT and £29 payroll from listing; bookkeeping, SA and accounts+CT (£1,100) at market typical</t>
  </si>
  <si>
    <t xml:space="preserve">Traditional Herts firm (guide typical)</t>
  </si>
  <si>
    <t xml:space="preserve">All at guide typical, incl. accounts+CT £1,100</t>
  </si>
  <si>
    <t xml:space="preserve">UFS vs cheapest competitor model</t>
  </si>
  <si>
    <t xml:space="preserve">Note: UFS total includes management accounts, dividend paperwork, registered office and the records multiplier, which the others exclude. Compare like for like by switching those off in the Quote Calculator.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</si>
</sst>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\x"/>
    <numFmt numFmtId="166" formatCode="\£#,##0.00;&quot;(£&quot;#,##0.00\);\-"/>
    <numFmt numFmtId="167" formatCode="0"/>
    <numFmt numFmtId="168" formatCode="0.0%"/>
    <numFmt numFmtId="169" formatCode="0%"/>
    <numFmt numFmtId="170" formatCode="\£#,##0;&quot;(£&quot;#,##0\);\-"/>
    <numFmt numFmtId="171" formatCode="0%;\-0%;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5"/>
      <c r="C4" s="2"/>
      <c r="D4" s="2"/>
      <c r="E4" s="2"/>
    </row>
    <row r="5" customFormat="false" ht="15" hidden="false" customHeight="false" outlineLevel="0" collapsed="false">
      <c r="A5" s="6" t="s">
        <v>3</v>
      </c>
      <c r="B5" s="7" t="s">
        <v>4</v>
      </c>
      <c r="C5" s="2"/>
      <c r="D5" s="2"/>
      <c r="E5" s="2"/>
    </row>
    <row r="6" customFormat="false" ht="15" hidden="false" customHeight="false" outlineLevel="0" collapsed="false">
      <c r="A6" s="6" t="s">
        <v>5</v>
      </c>
      <c r="B6" s="7" t="s">
        <v>6</v>
      </c>
      <c r="C6" s="2"/>
      <c r="D6" s="2"/>
      <c r="E6" s="2"/>
    </row>
    <row r="7" customFormat="false" ht="15" hidden="false" customHeight="false" outlineLevel="0" collapsed="false">
      <c r="A7" s="6" t="s">
        <v>7</v>
      </c>
      <c r="B7" s="7" t="s">
        <v>8</v>
      </c>
      <c r="C7" s="2"/>
      <c r="D7" s="2"/>
      <c r="E7" s="2"/>
    </row>
    <row r="8" customFormat="false" ht="15" hidden="false" customHeight="false" outlineLevel="0" collapsed="false">
      <c r="A8" s="6" t="s">
        <v>9</v>
      </c>
      <c r="B8" s="7" t="s">
        <v>10</v>
      </c>
      <c r="C8" s="2"/>
      <c r="D8" s="2"/>
      <c r="E8" s="2"/>
    </row>
    <row r="9" customFormat="false" ht="15" hidden="false" customHeight="false" outlineLevel="0" collapsed="false">
      <c r="A9" s="6" t="s">
        <v>11</v>
      </c>
      <c r="B9" s="7" t="s">
        <v>12</v>
      </c>
      <c r="C9" s="2"/>
      <c r="D9" s="2"/>
      <c r="E9" s="2"/>
    </row>
    <row r="10" customFormat="false" ht="15" hidden="false" customHeight="false" outlineLevel="0" collapsed="false">
      <c r="A10" s="6" t="s">
        <v>13</v>
      </c>
      <c r="B10" s="7" t="n">
        <v>120</v>
      </c>
      <c r="C10" s="2"/>
      <c r="D10" s="2"/>
      <c r="E10" s="2"/>
    </row>
    <row r="11" customFormat="false" ht="15" hidden="false" customHeight="false" outlineLevel="0" collapsed="false">
      <c r="A11" s="6" t="s">
        <v>14</v>
      </c>
      <c r="B11" s="7" t="n">
        <v>2</v>
      </c>
      <c r="C11" s="2"/>
      <c r="D11" s="2"/>
      <c r="E11" s="2"/>
    </row>
    <row r="12" customFormat="false" ht="15" hidden="false" customHeight="false" outlineLevel="0" collapsed="false">
      <c r="A12" s="6" t="s">
        <v>15</v>
      </c>
      <c r="B12" s="7" t="n">
        <v>30</v>
      </c>
      <c r="C12" s="2"/>
      <c r="D12" s="2"/>
      <c r="E12" s="2"/>
    </row>
    <row r="13" customFormat="false" ht="15" hidden="false" customHeight="false" outlineLevel="0" collapsed="false">
      <c r="A13" s="6" t="s">
        <v>16</v>
      </c>
      <c r="B13" s="7" t="s">
        <v>17</v>
      </c>
      <c r="C13" s="2"/>
      <c r="D13" s="2"/>
      <c r="E13" s="2"/>
    </row>
    <row r="14" customFormat="false" ht="15" hidden="false" customHeight="false" outlineLevel="0" collapsed="false">
      <c r="A14" s="6" t="s">
        <v>18</v>
      </c>
      <c r="B14" s="7" t="s">
        <v>10</v>
      </c>
      <c r="C14" s="2"/>
      <c r="D14" s="2"/>
      <c r="E14" s="2"/>
    </row>
    <row r="15" customFormat="false" ht="15" hidden="false" customHeight="false" outlineLevel="0" collapsed="false">
      <c r="A15" s="6" t="s">
        <v>19</v>
      </c>
      <c r="B15" s="7" t="s">
        <v>17</v>
      </c>
      <c r="C15" s="2"/>
      <c r="D15" s="2"/>
      <c r="E15" s="2"/>
    </row>
    <row r="16" customFormat="false" ht="15" hidden="false" customHeight="false" outlineLevel="0" collapsed="false">
      <c r="A16" s="6" t="s">
        <v>20</v>
      </c>
      <c r="B16" s="7" t="n">
        <v>3</v>
      </c>
      <c r="C16" s="2"/>
      <c r="D16" s="2"/>
      <c r="E16" s="2"/>
    </row>
    <row r="17" customFormat="false" ht="15" hidden="false" customHeight="false" outlineLevel="0" collapsed="false">
      <c r="A17" s="6" t="s">
        <v>21</v>
      </c>
      <c r="B17" s="7" t="s">
        <v>22</v>
      </c>
      <c r="C17" s="2"/>
      <c r="D17" s="2"/>
      <c r="E17" s="2"/>
    </row>
    <row r="18" customFormat="false" ht="15" hidden="false" customHeight="false" outlineLevel="0" collapsed="false">
      <c r="A18" s="6" t="s">
        <v>23</v>
      </c>
      <c r="B18" s="7" t="s">
        <v>24</v>
      </c>
      <c r="C18" s="2"/>
      <c r="D18" s="2"/>
      <c r="E18" s="2"/>
    </row>
    <row r="19" customFormat="false" ht="15" hidden="false" customHeight="false" outlineLevel="0" collapsed="false">
      <c r="A19" s="6" t="s">
        <v>25</v>
      </c>
      <c r="B19" s="7" t="n">
        <v>1</v>
      </c>
      <c r="C19" s="2"/>
      <c r="D19" s="2"/>
      <c r="E19" s="2"/>
    </row>
    <row r="20" customFormat="false" ht="15" hidden="false" customHeight="false" outlineLevel="0" collapsed="false">
      <c r="A20" s="6" t="s">
        <v>26</v>
      </c>
      <c r="B20" s="7" t="s">
        <v>17</v>
      </c>
      <c r="C20" s="2"/>
      <c r="D20" s="2"/>
      <c r="E20" s="2"/>
    </row>
    <row r="21" customFormat="false" ht="15" hidden="false" customHeight="false" outlineLevel="0" collapsed="false">
      <c r="A21" s="6" t="s">
        <v>27</v>
      </c>
      <c r="B21" s="7" t="n">
        <v>0</v>
      </c>
      <c r="C21" s="2"/>
      <c r="D21" s="2"/>
      <c r="E21" s="2"/>
    </row>
    <row r="22" customFormat="false" ht="15" hidden="false" customHeight="false" outlineLevel="0" collapsed="false">
      <c r="A22" s="6" t="s">
        <v>28</v>
      </c>
      <c r="B22" s="7" t="n">
        <v>2</v>
      </c>
      <c r="C22" s="2"/>
      <c r="D22" s="2"/>
      <c r="E22" s="2"/>
    </row>
    <row r="23" customFormat="false" ht="15" hidden="false" customHeight="false" outlineLevel="0" collapsed="false">
      <c r="A23" s="6" t="s">
        <v>29</v>
      </c>
      <c r="B23" s="7" t="n">
        <v>1</v>
      </c>
      <c r="C23" s="2"/>
      <c r="D23" s="2"/>
      <c r="E23" s="2"/>
    </row>
    <row r="24" customFormat="false" ht="15" hidden="false" customHeight="false" outlineLevel="0" collapsed="false">
      <c r="A24" s="6" t="s">
        <v>30</v>
      </c>
      <c r="B24" s="7" t="n">
        <v>0</v>
      </c>
      <c r="C24" s="2"/>
      <c r="D24" s="2"/>
      <c r="E24" s="2"/>
    </row>
    <row r="25" customFormat="false" ht="15" hidden="false" customHeight="false" outlineLevel="0" collapsed="false">
      <c r="A25" s="6" t="s">
        <v>31</v>
      </c>
      <c r="B25" s="7" t="n">
        <v>0</v>
      </c>
      <c r="C25" s="2"/>
      <c r="D25" s="2"/>
      <c r="E25" s="2"/>
    </row>
    <row r="26" customFormat="false" ht="15" hidden="false" customHeight="false" outlineLevel="0" collapsed="false">
      <c r="A26" s="6" t="s">
        <v>32</v>
      </c>
      <c r="B26" s="7" t="n">
        <v>0</v>
      </c>
      <c r="C26" s="2"/>
      <c r="D26" s="2"/>
      <c r="E26" s="2"/>
    </row>
    <row r="27" customFormat="false" ht="15" hidden="false" customHeight="false" outlineLevel="0" collapsed="false">
      <c r="A27" s="6" t="s">
        <v>33</v>
      </c>
      <c r="B27" s="7" t="n">
        <v>4</v>
      </c>
      <c r="C27" s="2"/>
      <c r="D27" s="2"/>
      <c r="E27" s="2"/>
    </row>
    <row r="28" customFormat="false" ht="15" hidden="false" customHeight="false" outlineLevel="0" collapsed="false">
      <c r="A28" s="6" t="s">
        <v>34</v>
      </c>
      <c r="B28" s="7" t="n">
        <v>4</v>
      </c>
      <c r="C28" s="2"/>
      <c r="D28" s="2"/>
      <c r="E28" s="2"/>
    </row>
    <row r="29" customFormat="false" ht="15" hidden="false" customHeight="false" outlineLevel="0" collapsed="false">
      <c r="A29" s="6" t="s">
        <v>35</v>
      </c>
      <c r="B29" s="7" t="s">
        <v>24</v>
      </c>
      <c r="C29" s="2"/>
      <c r="D29" s="2"/>
      <c r="E29" s="2"/>
    </row>
    <row r="30" customFormat="false" ht="15" hidden="false" customHeight="false" outlineLevel="0" collapsed="false">
      <c r="A30" s="6" t="s">
        <v>36</v>
      </c>
      <c r="B30" s="7" t="s">
        <v>17</v>
      </c>
      <c r="C30" s="2"/>
      <c r="D30" s="2"/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8" t="s">
        <v>37</v>
      </c>
      <c r="B32" s="9" t="n">
        <f aca="false">INDEX('Rate Card'!$B$52:$B$54,MATCH($B$8,'Rate Card'!$A$52:$A$54,0))*INDEX('Rate Card'!$E$52:$E$54,MATCH($B$9,'Rate Card'!$D$52:$D$54,0))</f>
        <v>1.15</v>
      </c>
      <c r="C32" s="2"/>
      <c r="D32" s="2"/>
      <c r="E32" s="2"/>
    </row>
    <row r="33" customFormat="false" ht="15" hidden="false" customHeight="false" outlineLevel="0" collapsed="false">
      <c r="A33" s="8" t="s">
        <v>38</v>
      </c>
      <c r="B33" s="2" t="str">
        <f aca="false">IF(OR($B$6="Limited Company",$B$6="LLP"),"Y","N")</f>
        <v>Y</v>
      </c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4" t="s">
        <v>39</v>
      </c>
      <c r="B35" s="4" t="s">
        <v>40</v>
      </c>
      <c r="C35" s="4" t="s">
        <v>41</v>
      </c>
      <c r="D35" s="4" t="s">
        <v>42</v>
      </c>
      <c r="E35" s="4" t="s">
        <v>43</v>
      </c>
    </row>
    <row r="36" customFormat="false" ht="15" hidden="false" customHeight="false" outlineLevel="0" collapsed="false">
      <c r="A36" s="6" t="s">
        <v>44</v>
      </c>
      <c r="B36" s="7" t="s">
        <v>24</v>
      </c>
      <c r="C36" s="10" t="n">
        <f aca="false">IF(B36="Y",('Rate Card'!$B$5+MAX(0,$B$10-'Rate Card'!$B$6)*'Rate Card'!$B$7+MAX(0,$B$11-1)*'Rate Card'!$B$8+$B$12*'Rate Card'!$B$10+IF($B$13="Y",'Rate Card'!$B$9,0))*12*$B$32,0)</f>
        <v>1945.8</v>
      </c>
      <c r="D36" s="10" t="n">
        <f aca="false">C36/12</f>
        <v>162.15</v>
      </c>
      <c r="E36" s="11" t="s">
        <v>45</v>
      </c>
    </row>
    <row r="37" customFormat="false" ht="15" hidden="false" customHeight="false" outlineLevel="0" collapsed="false">
      <c r="A37" s="6" t="s">
        <v>46</v>
      </c>
      <c r="B37" s="7" t="str">
        <f aca="false">IF($B$14="None","N","Y")</f>
        <v>Y</v>
      </c>
      <c r="C37" s="10" t="n">
        <f aca="false">IF(B37="Y",4*IF($B$14="Flat Rate",'Rate Card'!$B$13,'Rate Card'!$B$12)+IF($B$15="Y",'Rate Card'!$B$14,0),0)</f>
        <v>300</v>
      </c>
      <c r="D37" s="10" t="n">
        <f aca="false">C37/12</f>
        <v>25</v>
      </c>
      <c r="E37" s="11" t="s">
        <v>47</v>
      </c>
    </row>
    <row r="38" customFormat="false" ht="15" hidden="false" customHeight="false" outlineLevel="0" collapsed="false">
      <c r="A38" s="6" t="s">
        <v>48</v>
      </c>
      <c r="B38" s="7" t="str">
        <f aca="false">IF($B$16&gt;0,"Y","N")</f>
        <v>Y</v>
      </c>
      <c r="C38" s="10" t="n">
        <f aca="false">IF(B38="Y",IF($B$17="Weekly",52,12)*MAX('Rate Card'!$B$18,$B$16*'Rate Card'!$B$17)+IF($B$18="Y",12*'Rate Card'!$B$19,0)+$B$19*'Rate Card'!$B$20,0)</f>
        <v>435</v>
      </c>
      <c r="D38" s="10" t="n">
        <f aca="false">C38/12</f>
        <v>36.25</v>
      </c>
      <c r="E38" s="11" t="s">
        <v>49</v>
      </c>
    </row>
    <row r="39" customFormat="false" ht="15" hidden="false" customHeight="false" outlineLevel="0" collapsed="false">
      <c r="A39" s="6" t="s">
        <v>50</v>
      </c>
      <c r="B39" s="7" t="str">
        <f aca="false">$B$20</f>
        <v>N</v>
      </c>
      <c r="C39" s="10" t="n">
        <f aca="false">IF(B39="Y",12*('Rate Card'!$B$21+$B$21*'Rate Card'!$B$22),0)</f>
        <v>0</v>
      </c>
      <c r="D39" s="10" t="n">
        <f aca="false">C39/12</f>
        <v>0</v>
      </c>
      <c r="E39" s="11" t="s">
        <v>51</v>
      </c>
    </row>
    <row r="40" customFormat="false" ht="15" hidden="false" customHeight="false" outlineLevel="0" collapsed="false">
      <c r="A40" s="6" t="s">
        <v>52</v>
      </c>
      <c r="B40" s="7" t="s">
        <v>24</v>
      </c>
      <c r="C40" s="10" t="n">
        <f aca="false">IF(B40="Y",INDEX('Rate Card'!$B$58:$F$62,MATCH($B$6,'Rate Card'!$A$58:$A$62,0),MATCH($B$7,'Rate Card'!$B$57:$F$57,0))*$B$32,0)</f>
        <v>977.5</v>
      </c>
      <c r="D40" s="10" t="n">
        <f aca="false">C40/12</f>
        <v>81.4583333333333</v>
      </c>
      <c r="E40" s="11" t="s">
        <v>53</v>
      </c>
    </row>
    <row r="41" customFormat="false" ht="15" hidden="false" customHeight="false" outlineLevel="0" collapsed="false">
      <c r="A41" s="6" t="s">
        <v>54</v>
      </c>
      <c r="B41" s="7" t="str">
        <f aca="false">IF($B$6="Limited Company","Y","N")</f>
        <v>Y</v>
      </c>
      <c r="C41" s="10" t="n">
        <f aca="false">IF(B41="Y",'Rate Card'!$B$24,0)</f>
        <v>250</v>
      </c>
      <c r="D41" s="10" t="n">
        <f aca="false">C41/12</f>
        <v>20.8333333333333</v>
      </c>
      <c r="E41" s="11" t="s">
        <v>55</v>
      </c>
    </row>
    <row r="42" customFormat="false" ht="15" hidden="false" customHeight="false" outlineLevel="0" collapsed="false">
      <c r="A42" s="6" t="s">
        <v>56</v>
      </c>
      <c r="B42" s="7" t="str">
        <f aca="false">IF(OR($B$6="Partnership",$B$6="LLP"),"Y","N")</f>
        <v>N</v>
      </c>
      <c r="C42" s="10" t="n">
        <f aca="false">IF(B42="Y",'Rate Card'!$B$29,0)</f>
        <v>0</v>
      </c>
      <c r="D42" s="10" t="n">
        <f aca="false">C42/12</f>
        <v>0</v>
      </c>
      <c r="E42" s="11" t="s">
        <v>55</v>
      </c>
    </row>
    <row r="43" customFormat="false" ht="15" hidden="false" customHeight="false" outlineLevel="0" collapsed="false">
      <c r="A43" s="6" t="s">
        <v>57</v>
      </c>
      <c r="B43" s="7" t="str">
        <f aca="false">IF($B$22&gt;0,"Y","N")</f>
        <v>Y</v>
      </c>
      <c r="C43" s="10" t="n">
        <f aca="false">IF(B43="Y",$B$22*'Rate Card'!$B$25+$B$23*'Rate Card'!$B$26+$B$24*'Rate Card'!$B$27+$B$25*'Rate Card'!$B$28,0)</f>
        <v>475</v>
      </c>
      <c r="D43" s="10" t="n">
        <f aca="false">C43/12</f>
        <v>39.5833333333333</v>
      </c>
      <c r="E43" s="11" t="s">
        <v>58</v>
      </c>
    </row>
    <row r="44" customFormat="false" ht="15" hidden="false" customHeight="false" outlineLevel="0" collapsed="false">
      <c r="A44" s="6" t="s">
        <v>59</v>
      </c>
      <c r="B44" s="7" t="str">
        <f aca="false">IF($B$26&gt;0,"Y","N")</f>
        <v>N</v>
      </c>
      <c r="C44" s="10" t="n">
        <f aca="false">IF(B44="Y",$B$26*'Rate Card'!$B$30,0)</f>
        <v>0</v>
      </c>
      <c r="D44" s="10" t="n">
        <f aca="false">C44/12</f>
        <v>0</v>
      </c>
      <c r="E44" s="11" t="s">
        <v>60</v>
      </c>
    </row>
    <row r="45" customFormat="false" ht="15" hidden="false" customHeight="false" outlineLevel="0" collapsed="false">
      <c r="A45" s="6" t="s">
        <v>61</v>
      </c>
      <c r="B45" s="7" t="str">
        <f aca="false">$B$33</f>
        <v>Y</v>
      </c>
      <c r="C45" s="10" t="n">
        <f aca="false">IF(B45="Y",'Rate Card'!$B$32+'Rate Card'!$B$33,0)</f>
        <v>110</v>
      </c>
      <c r="D45" s="10" t="n">
        <f aca="false">C45/12</f>
        <v>9.16666666666667</v>
      </c>
      <c r="E45" s="11" t="s">
        <v>62</v>
      </c>
    </row>
    <row r="46" customFormat="false" ht="15" hidden="false" customHeight="false" outlineLevel="0" collapsed="false">
      <c r="A46" s="6" t="s">
        <v>63</v>
      </c>
      <c r="B46" s="7" t="str">
        <f aca="false">$B$29</f>
        <v>Y</v>
      </c>
      <c r="C46" s="10" t="n">
        <f aca="false">IF(B46="Y",'Rate Card'!$B$34,0)</f>
        <v>120</v>
      </c>
      <c r="D46" s="10" t="n">
        <f aca="false">C46/12</f>
        <v>10</v>
      </c>
      <c r="E46" s="11" t="s">
        <v>55</v>
      </c>
    </row>
    <row r="47" customFormat="false" ht="15" hidden="false" customHeight="false" outlineLevel="0" collapsed="false">
      <c r="A47" s="6" t="s">
        <v>64</v>
      </c>
      <c r="B47" s="7" t="str">
        <f aca="false">IF(AND($B$33="Y",$B$27&gt;0),"Y","N")</f>
        <v>Y</v>
      </c>
      <c r="C47" s="10" t="n">
        <f aca="false">IF(B47="Y",$B$27*'Rate Card'!$B$35,0)</f>
        <v>100</v>
      </c>
      <c r="D47" s="10" t="n">
        <f aca="false">C47/12</f>
        <v>8.33333333333333</v>
      </c>
      <c r="E47" s="11" t="s">
        <v>65</v>
      </c>
    </row>
    <row r="48" customFormat="false" ht="15" hidden="false" customHeight="false" outlineLevel="0" collapsed="false">
      <c r="A48" s="6" t="s">
        <v>66</v>
      </c>
      <c r="B48" s="7" t="str">
        <f aca="false">IF($B$28&gt;0,"Y","N")</f>
        <v>Y</v>
      </c>
      <c r="C48" s="10" t="n">
        <f aca="false">IF(B48="Y",$B$28*'Rate Card'!$B$37,0)</f>
        <v>600</v>
      </c>
      <c r="D48" s="10" t="n">
        <f aca="false">C48/12</f>
        <v>50</v>
      </c>
      <c r="E48" s="11" t="s">
        <v>67</v>
      </c>
    </row>
    <row r="49" customFormat="false" ht="15" hidden="false" customHeight="false" outlineLevel="0" collapsed="false">
      <c r="A49" s="8" t="s">
        <v>68</v>
      </c>
      <c r="B49" s="2"/>
      <c r="C49" s="12" t="n">
        <f aca="false">SUM(C36:C48)</f>
        <v>5313.3</v>
      </c>
      <c r="D49" s="12" t="n">
        <f aca="false">C49/12</f>
        <v>442.775</v>
      </c>
      <c r="E49" s="2"/>
    </row>
    <row r="50" customFormat="false" ht="15" hidden="false" customHeight="false" outlineLevel="0" collapsed="false">
      <c r="A50" s="6" t="s">
        <v>69</v>
      </c>
      <c r="B50" s="2"/>
      <c r="C50" s="13" t="n">
        <f aca="false">MAX(0,'Rate Card'!$B$47*12-C49)</f>
        <v>0</v>
      </c>
      <c r="D50" s="13" t="n">
        <f aca="false">C50/12</f>
        <v>0</v>
      </c>
      <c r="E50" s="2"/>
    </row>
    <row r="51" customFormat="false" ht="15" hidden="false" customHeight="false" outlineLevel="0" collapsed="false">
      <c r="A51" s="6" t="s">
        <v>70</v>
      </c>
      <c r="B51" s="2"/>
      <c r="C51" s="13" t="n">
        <f aca="false">-IF($B$30="Y",(C49+C50)*'Rate Card'!$B$48,0)</f>
        <v>-0</v>
      </c>
      <c r="D51" s="13" t="n">
        <f aca="false">C51/12</f>
        <v>-0</v>
      </c>
      <c r="E51" s="2"/>
    </row>
    <row r="52" customFormat="false" ht="15" hidden="false" customHeight="false" outlineLevel="0" collapsed="false">
      <c r="A52" s="14" t="s">
        <v>71</v>
      </c>
      <c r="B52" s="15"/>
      <c r="C52" s="16" t="n">
        <f aca="false">C49+C50+C51</f>
        <v>5313.3</v>
      </c>
      <c r="D52" s="16" t="n">
        <f aca="false">C52/12</f>
        <v>442.775</v>
      </c>
      <c r="E52" s="15"/>
    </row>
    <row r="53" customFormat="false" ht="15" hidden="false" customHeight="false" outlineLevel="0" collapsed="false">
      <c r="A53" s="6" t="s">
        <v>72</v>
      </c>
      <c r="B53" s="2"/>
      <c r="C53" s="13" t="n">
        <f aca="false">C52*'Rate Card'!$B$49</f>
        <v>1062.66</v>
      </c>
      <c r="D53" s="13" t="n">
        <f aca="false">C53/12</f>
        <v>88.555</v>
      </c>
      <c r="E53" s="2"/>
    </row>
    <row r="54" customFormat="false" ht="15" hidden="false" customHeight="false" outlineLevel="0" collapsed="false">
      <c r="A54" s="14" t="s">
        <v>73</v>
      </c>
      <c r="B54" s="15"/>
      <c r="C54" s="16" t="n">
        <f aca="false">C52+C53</f>
        <v>6375.96</v>
      </c>
      <c r="D54" s="16" t="n">
        <f aca="false">C54/12</f>
        <v>531.33</v>
      </c>
      <c r="E54" s="15"/>
    </row>
    <row r="55" customFormat="false" ht="15" hidden="false" customHeight="false" outlineLevel="0" collapsed="false">
      <c r="A55" s="2"/>
      <c r="B55" s="2"/>
      <c r="C55" s="2"/>
      <c r="D55" s="2"/>
      <c r="E55" s="2"/>
    </row>
    <row r="56" customFormat="false" ht="15" hidden="false" customHeight="false" outlineLevel="0" collapsed="false">
      <c r="A56" s="4" t="s">
        <v>74</v>
      </c>
      <c r="B56" s="4" t="s">
        <v>75</v>
      </c>
      <c r="C56" s="4" t="s">
        <v>76</v>
      </c>
      <c r="D56" s="4" t="s">
        <v>77</v>
      </c>
      <c r="E56" s="4"/>
    </row>
    <row r="57" customFormat="false" ht="15" hidden="false" customHeight="false" outlineLevel="0" collapsed="false">
      <c r="A57" s="6" t="s">
        <v>78</v>
      </c>
      <c r="B57" s="7" t="n">
        <v>0</v>
      </c>
      <c r="C57" s="10" t="n">
        <f aca="false">B57*D57</f>
        <v>0</v>
      </c>
      <c r="D57" s="10" t="n">
        <f aca="false">'Rate Card'!$B$40</f>
        <v>150</v>
      </c>
      <c r="E57" s="2"/>
    </row>
    <row r="58" customFormat="false" ht="15" hidden="false" customHeight="false" outlineLevel="0" collapsed="false">
      <c r="A58" s="6" t="s">
        <v>79</v>
      </c>
      <c r="B58" s="7" t="n">
        <v>0</v>
      </c>
      <c r="C58" s="10" t="n">
        <f aca="false">B58*D58</f>
        <v>0</v>
      </c>
      <c r="D58" s="10" t="n">
        <f aca="false">'Rate Card'!$B$15</f>
        <v>100</v>
      </c>
      <c r="E58" s="2"/>
    </row>
    <row r="59" customFormat="false" ht="15" hidden="false" customHeight="false" outlineLevel="0" collapsed="false">
      <c r="A59" s="6" t="s">
        <v>80</v>
      </c>
      <c r="B59" s="7" t="n">
        <v>0</v>
      </c>
      <c r="C59" s="10" t="n">
        <f aca="false">B59*D59</f>
        <v>0</v>
      </c>
      <c r="D59" s="10" t="n">
        <f aca="false">'Rate Card'!$B$41</f>
        <v>450</v>
      </c>
      <c r="E59" s="2"/>
    </row>
    <row r="60" customFormat="false" ht="15" hidden="false" customHeight="false" outlineLevel="0" collapsed="false">
      <c r="A60" s="6" t="s">
        <v>81</v>
      </c>
      <c r="B60" s="7" t="n">
        <v>0</v>
      </c>
      <c r="C60" s="10" t="n">
        <f aca="false">B60*D60</f>
        <v>0</v>
      </c>
      <c r="D60" s="10" t="n">
        <f aca="false">'Rate Card'!$B$42</f>
        <v>150</v>
      </c>
      <c r="E60" s="2"/>
    </row>
    <row r="61" customFormat="false" ht="15" hidden="false" customHeight="false" outlineLevel="0" collapsed="false">
      <c r="A61" s="6" t="s">
        <v>82</v>
      </c>
      <c r="B61" s="7" t="n">
        <v>0</v>
      </c>
      <c r="C61" s="10" t="n">
        <f aca="false">B61*D61</f>
        <v>0</v>
      </c>
      <c r="D61" s="10" t="n">
        <f aca="false">'Rate Card'!$B$43</f>
        <v>150</v>
      </c>
      <c r="E61" s="2"/>
    </row>
    <row r="62" customFormat="false" ht="15" hidden="false" customHeight="false" outlineLevel="0" collapsed="false">
      <c r="A62" s="6" t="s">
        <v>83</v>
      </c>
      <c r="B62" s="7" t="n">
        <v>0</v>
      </c>
      <c r="C62" s="10" t="n">
        <f aca="false">B62*D62</f>
        <v>0</v>
      </c>
      <c r="D62" s="10" t="n">
        <f aca="false">'Rate Card'!$B$38</f>
        <v>350</v>
      </c>
      <c r="E62" s="2"/>
    </row>
    <row r="63" customFormat="false" ht="15" hidden="false" customHeight="false" outlineLevel="0" collapsed="false">
      <c r="A63" s="6" t="s">
        <v>84</v>
      </c>
      <c r="B63" s="7" t="n">
        <v>0</v>
      </c>
      <c r="C63" s="10" t="n">
        <f aca="false">B63*D63</f>
        <v>0</v>
      </c>
      <c r="D63" s="10" t="n">
        <f aca="false">'Rate Card'!$B$44</f>
        <v>1500</v>
      </c>
      <c r="E63" s="2"/>
    </row>
    <row r="64" customFormat="false" ht="15" hidden="false" customHeight="false" outlineLevel="0" collapsed="false">
      <c r="A64" s="6" t="s">
        <v>85</v>
      </c>
      <c r="B64" s="7" t="n">
        <v>0</v>
      </c>
      <c r="C64" s="10" t="n">
        <f aca="false">B64*D64</f>
        <v>0</v>
      </c>
      <c r="D64" s="10" t="n">
        <f aca="false">'Rate Card'!$B$45</f>
        <v>90</v>
      </c>
      <c r="E64" s="2"/>
    </row>
    <row r="65" customFormat="false" ht="15" hidden="false" customHeight="false" outlineLevel="0" collapsed="false">
      <c r="A65" s="6" t="s">
        <v>86</v>
      </c>
      <c r="B65" s="6" t="s">
        <v>87</v>
      </c>
      <c r="C65" s="10" t="n">
        <f aca="false">'Co Sec Menu'!$G$3</f>
        <v>0</v>
      </c>
      <c r="D65" s="2"/>
      <c r="E65" s="2"/>
    </row>
    <row r="66" customFormat="false" ht="15" hidden="false" customHeight="false" outlineLevel="0" collapsed="false">
      <c r="A66" s="8" t="s">
        <v>88</v>
      </c>
      <c r="B66" s="2"/>
      <c r="C66" s="12" t="n">
        <f aca="false">SUM(C57:C65)</f>
        <v>0</v>
      </c>
      <c r="D66" s="2"/>
      <c r="E66" s="2"/>
    </row>
    <row r="67" customFormat="false" ht="15" hidden="false" customHeight="false" outlineLevel="0" collapsed="false">
      <c r="A67" s="8" t="s">
        <v>89</v>
      </c>
      <c r="B67" s="2"/>
      <c r="C67" s="12" t="n">
        <f aca="false">C66*(1+'Rate Card'!$B$49)</f>
        <v>0</v>
      </c>
      <c r="D67" s="2"/>
      <c r="E67" s="2"/>
    </row>
    <row r="68" customFormat="false" ht="15" hidden="false" customHeight="false" outlineLevel="0" collapsed="false">
      <c r="A68" s="2"/>
      <c r="B68" s="2"/>
      <c r="C68" s="2"/>
      <c r="D68" s="2"/>
      <c r="E68" s="2"/>
    </row>
    <row r="69" customFormat="false" ht="15" hidden="false" customHeight="false" outlineLevel="0" collapsed="false">
      <c r="A69" s="3" t="s">
        <v>90</v>
      </c>
      <c r="B69" s="2"/>
      <c r="C69" s="2"/>
      <c r="D69" s="2"/>
      <c r="E69" s="2"/>
    </row>
  </sheetData>
  <dataValidations count="12">
    <dataValidation allowBlank="false" errorStyle="stop" operator="between" showDropDown="false" showErrorMessage="false" showInputMessage="false" sqref="B6" type="list">
      <formula1>'Rate Card'!$A$58:$A$62</formula1>
      <formula2>0</formula2>
    </dataValidation>
    <dataValidation allowBlank="false" errorStyle="stop" operator="between" showDropDown="false" showErrorMessage="false" showInputMessage="false" sqref="B7" type="list">
      <formula1>'Rate Card'!$B$57:$F$57</formula1>
      <formula2>0</formula2>
    </dataValidation>
    <dataValidation allowBlank="false" errorStyle="stop" operator="between" showDropDown="false" showErrorMessage="false" showInputMessage="false" sqref="B8" type="list">
      <formula1>'Rate Card'!$A$52:$A$54</formula1>
      <formula2>0</formula2>
    </dataValidation>
    <dataValidation allowBlank="false" errorStyle="stop" operator="between" showDropDown="false" showErrorMessage="false" showInputMessage="false" sqref="B9" type="list">
      <formula1>'Rate Card'!$D$52:$D$54</formula1>
      <formula2>0</formula2>
    </dataValidation>
    <dataValidation allowBlank="false" errorStyle="stop" operator="between" showDropDown="false" showErrorMessage="false" showInputMessage="false" sqref="B14" type="list">
      <formula1>"None,Standard,Flat Rate"</formula1>
      <formula2>0</formula2>
    </dataValidation>
    <dataValidation allowBlank="false" errorStyle="stop" operator="between" showDropDown="false" showErrorMessage="false" showInputMessage="false" sqref="B17" type="list">
      <formula1>"Monthly,Weekly"</formula1>
      <formula2>0</formula2>
    </dataValidation>
    <dataValidation allowBlank="false" errorStyle="stop" operator="between" showDropDown="false" showErrorMessage="false" showInputMessage="false" sqref="B13" type="list">
      <formula1>"Y,N"</formula1>
      <formula2>0</formula2>
    </dataValidation>
    <dataValidation allowBlank="false" errorStyle="stop" operator="between" showDropDown="false" showErrorMessage="false" showInputMessage="false" sqref="B15" type="list">
      <formula1>"Y,N"</formula1>
      <formula2>0</formula2>
    </dataValidation>
    <dataValidation allowBlank="false" errorStyle="stop" operator="between" showDropDown="false" showErrorMessage="false" showInputMessage="false" sqref="B18" type="list">
      <formula1>"Y,N"</formula1>
      <formula2>0</formula2>
    </dataValidation>
    <dataValidation allowBlank="false" errorStyle="stop" operator="between" showDropDown="false" showErrorMessage="false" showInputMessage="false" sqref="B20" type="list">
      <formula1>"Y,N"</formula1>
      <formula2>0</formula2>
    </dataValidation>
    <dataValidation allowBlank="false" errorStyle="stop" operator="between" showDropDown="false" showErrorMessage="false" showInputMessage="false" sqref="B29" type="list">
      <formula1>"Y,N"</formula1>
      <formula2>0</formula2>
    </dataValidation>
    <dataValidation allowBlank="false" errorStyle="stop" operator="between" showDropDown="false" showErrorMessage="false" showInputMessage="false" sqref="B3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91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92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44</v>
      </c>
      <c r="B4" s="5"/>
      <c r="C4" s="5"/>
      <c r="D4" s="2"/>
      <c r="E4" s="2"/>
      <c r="F4" s="2"/>
    </row>
    <row r="5" customFormat="false" ht="15" hidden="false" customHeight="false" outlineLevel="0" collapsed="false">
      <c r="A5" s="6" t="s">
        <v>93</v>
      </c>
      <c r="B5" s="17" t="n">
        <v>60</v>
      </c>
      <c r="C5" s="6" t="s">
        <v>94</v>
      </c>
      <c r="D5" s="2"/>
      <c r="E5" s="2"/>
      <c r="F5" s="2"/>
    </row>
    <row r="6" customFormat="false" ht="15" hidden="false" customHeight="false" outlineLevel="0" collapsed="false">
      <c r="A6" s="6" t="s">
        <v>95</v>
      </c>
      <c r="B6" s="18" t="n">
        <v>50</v>
      </c>
      <c r="C6" s="6" t="s">
        <v>94</v>
      </c>
      <c r="D6" s="2"/>
      <c r="E6" s="2"/>
      <c r="F6" s="2"/>
    </row>
    <row r="7" customFormat="false" ht="15" hidden="false" customHeight="false" outlineLevel="0" collapsed="false">
      <c r="A7" s="6" t="s">
        <v>96</v>
      </c>
      <c r="B7" s="17" t="n">
        <v>0.8</v>
      </c>
      <c r="C7" s="6" t="s">
        <v>97</v>
      </c>
      <c r="D7" s="2"/>
      <c r="E7" s="2"/>
      <c r="F7" s="2"/>
    </row>
    <row r="8" customFormat="false" ht="15" hidden="false" customHeight="false" outlineLevel="0" collapsed="false">
      <c r="A8" s="6" t="s">
        <v>98</v>
      </c>
      <c r="B8" s="17" t="n">
        <v>10</v>
      </c>
      <c r="C8" s="6" t="s">
        <v>94</v>
      </c>
      <c r="D8" s="2"/>
      <c r="E8" s="2"/>
      <c r="F8" s="2"/>
    </row>
    <row r="9" customFormat="false" ht="15" hidden="false" customHeight="false" outlineLevel="0" collapsed="false">
      <c r="A9" s="6" t="s">
        <v>99</v>
      </c>
      <c r="B9" s="17" t="n">
        <v>20</v>
      </c>
      <c r="C9" s="6" t="s">
        <v>94</v>
      </c>
      <c r="D9" s="2"/>
      <c r="E9" s="2"/>
      <c r="F9" s="2"/>
    </row>
    <row r="10" customFormat="false" ht="15" hidden="false" customHeight="false" outlineLevel="0" collapsed="false">
      <c r="A10" s="6" t="s">
        <v>100</v>
      </c>
      <c r="B10" s="17" t="n">
        <v>0.5</v>
      </c>
      <c r="C10" s="6" t="s">
        <v>101</v>
      </c>
      <c r="D10" s="2"/>
      <c r="E10" s="2"/>
      <c r="F10" s="2"/>
    </row>
    <row r="11" customFormat="false" ht="15" hidden="false" customHeight="false" outlineLevel="0" collapsed="false">
      <c r="A11" s="4" t="s">
        <v>72</v>
      </c>
      <c r="B11" s="5"/>
      <c r="C11" s="5"/>
      <c r="D11" s="2"/>
      <c r="E11" s="2"/>
      <c r="F11" s="2"/>
    </row>
    <row r="12" customFormat="false" ht="15" hidden="false" customHeight="false" outlineLevel="0" collapsed="false">
      <c r="A12" s="6" t="s">
        <v>102</v>
      </c>
      <c r="B12" s="17" t="n">
        <v>75</v>
      </c>
      <c r="C12" s="6" t="s">
        <v>103</v>
      </c>
      <c r="D12" s="2"/>
      <c r="E12" s="2"/>
      <c r="F12" s="2"/>
    </row>
    <row r="13" customFormat="false" ht="15" hidden="false" customHeight="false" outlineLevel="0" collapsed="false">
      <c r="A13" s="6" t="s">
        <v>104</v>
      </c>
      <c r="B13" s="17" t="n">
        <v>50</v>
      </c>
      <c r="C13" s="6" t="s">
        <v>103</v>
      </c>
      <c r="D13" s="2"/>
      <c r="E13" s="2"/>
      <c r="F13" s="2"/>
    </row>
    <row r="14" customFormat="false" ht="15" hidden="false" customHeight="false" outlineLevel="0" collapsed="false">
      <c r="A14" s="6" t="s">
        <v>105</v>
      </c>
      <c r="B14" s="17" t="n">
        <v>150</v>
      </c>
      <c r="C14" s="6" t="s">
        <v>106</v>
      </c>
      <c r="D14" s="2"/>
      <c r="E14" s="2"/>
      <c r="F14" s="2"/>
    </row>
    <row r="15" customFormat="false" ht="15" hidden="false" customHeight="false" outlineLevel="0" collapsed="false">
      <c r="A15" s="6" t="s">
        <v>107</v>
      </c>
      <c r="B15" s="17" t="n">
        <v>100</v>
      </c>
      <c r="C15" s="6" t="s">
        <v>108</v>
      </c>
      <c r="D15" s="2"/>
      <c r="E15" s="2"/>
      <c r="F15" s="2"/>
    </row>
    <row r="16" customFormat="false" ht="15" hidden="false" customHeight="false" outlineLevel="0" collapsed="false">
      <c r="A16" s="4" t="s">
        <v>48</v>
      </c>
      <c r="B16" s="5"/>
      <c r="C16" s="5"/>
      <c r="D16" s="2"/>
      <c r="E16" s="2"/>
      <c r="F16" s="2"/>
    </row>
    <row r="17" customFormat="false" ht="15" hidden="false" customHeight="false" outlineLevel="0" collapsed="false">
      <c r="A17" s="6" t="s">
        <v>109</v>
      </c>
      <c r="B17" s="17" t="n">
        <v>5</v>
      </c>
      <c r="C17" s="6" t="s">
        <v>110</v>
      </c>
      <c r="D17" s="2"/>
      <c r="E17" s="2"/>
      <c r="F17" s="2"/>
    </row>
    <row r="18" customFormat="false" ht="15" hidden="false" customHeight="false" outlineLevel="0" collapsed="false">
      <c r="A18" s="6" t="s">
        <v>111</v>
      </c>
      <c r="B18" s="17" t="n">
        <v>20</v>
      </c>
      <c r="C18" s="6" t="s">
        <v>112</v>
      </c>
      <c r="D18" s="2"/>
      <c r="E18" s="2"/>
      <c r="F18" s="2"/>
    </row>
    <row r="19" customFormat="false" ht="15" hidden="false" customHeight="false" outlineLevel="0" collapsed="false">
      <c r="A19" s="6" t="s">
        <v>113</v>
      </c>
      <c r="B19" s="17" t="n">
        <v>10</v>
      </c>
      <c r="C19" s="6" t="s">
        <v>94</v>
      </c>
      <c r="D19" s="2"/>
      <c r="E19" s="2"/>
      <c r="F19" s="2"/>
    </row>
    <row r="20" customFormat="false" ht="15" hidden="false" customHeight="false" outlineLevel="0" collapsed="false">
      <c r="A20" s="6" t="s">
        <v>114</v>
      </c>
      <c r="B20" s="17" t="n">
        <v>75</v>
      </c>
      <c r="C20" s="6" t="s">
        <v>115</v>
      </c>
      <c r="D20" s="2"/>
      <c r="E20" s="2"/>
      <c r="F20" s="2"/>
    </row>
    <row r="21" customFormat="false" ht="15" hidden="false" customHeight="false" outlineLevel="0" collapsed="false">
      <c r="A21" s="6" t="s">
        <v>116</v>
      </c>
      <c r="B21" s="17" t="n">
        <v>25</v>
      </c>
      <c r="C21" s="6" t="s">
        <v>94</v>
      </c>
      <c r="D21" s="2"/>
      <c r="E21" s="2"/>
      <c r="F21" s="2"/>
    </row>
    <row r="22" customFormat="false" ht="15" hidden="false" customHeight="false" outlineLevel="0" collapsed="false">
      <c r="A22" s="6" t="s">
        <v>117</v>
      </c>
      <c r="B22" s="17" t="n">
        <v>2</v>
      </c>
      <c r="C22" s="6" t="s">
        <v>118</v>
      </c>
      <c r="D22" s="2"/>
      <c r="E22" s="2"/>
      <c r="F22" s="2"/>
    </row>
    <row r="23" customFormat="false" ht="15" hidden="false" customHeight="false" outlineLevel="0" collapsed="false">
      <c r="A23" s="4" t="s">
        <v>119</v>
      </c>
      <c r="B23" s="5"/>
      <c r="C23" s="5"/>
      <c r="D23" s="2"/>
      <c r="E23" s="2"/>
      <c r="F23" s="2"/>
    </row>
    <row r="24" customFormat="false" ht="15" hidden="false" customHeight="false" outlineLevel="0" collapsed="false">
      <c r="A24" s="6" t="s">
        <v>54</v>
      </c>
      <c r="B24" s="17" t="n">
        <v>250</v>
      </c>
      <c r="C24" s="6" t="s">
        <v>106</v>
      </c>
      <c r="D24" s="2"/>
      <c r="E24" s="2"/>
      <c r="F24" s="2"/>
    </row>
    <row r="25" customFormat="false" ht="15" hidden="false" customHeight="false" outlineLevel="0" collapsed="false">
      <c r="A25" s="6" t="s">
        <v>120</v>
      </c>
      <c r="B25" s="17" t="n">
        <v>200</v>
      </c>
      <c r="C25" s="6" t="s">
        <v>103</v>
      </c>
      <c r="D25" s="2"/>
      <c r="E25" s="2"/>
      <c r="F25" s="2"/>
    </row>
    <row r="26" customFormat="false" ht="15" hidden="false" customHeight="false" outlineLevel="0" collapsed="false">
      <c r="A26" s="6" t="s">
        <v>121</v>
      </c>
      <c r="B26" s="17" t="n">
        <v>75</v>
      </c>
      <c r="C26" s="6" t="s">
        <v>122</v>
      </c>
      <c r="D26" s="2"/>
      <c r="E26" s="2"/>
      <c r="F26" s="2"/>
    </row>
    <row r="27" customFormat="false" ht="15" hidden="false" customHeight="false" outlineLevel="0" collapsed="false">
      <c r="A27" s="6" t="s">
        <v>123</v>
      </c>
      <c r="B27" s="17" t="n">
        <v>150</v>
      </c>
      <c r="C27" s="6" t="s">
        <v>124</v>
      </c>
      <c r="D27" s="2"/>
      <c r="E27" s="2"/>
      <c r="F27" s="2"/>
    </row>
    <row r="28" customFormat="false" ht="15" hidden="false" customHeight="false" outlineLevel="0" collapsed="false">
      <c r="A28" s="6" t="s">
        <v>125</v>
      </c>
      <c r="B28" s="17" t="n">
        <v>100</v>
      </c>
      <c r="C28" s="6" t="s">
        <v>103</v>
      </c>
      <c r="D28" s="2"/>
      <c r="E28" s="2"/>
      <c r="F28" s="2"/>
    </row>
    <row r="29" customFormat="false" ht="15" hidden="false" customHeight="false" outlineLevel="0" collapsed="false">
      <c r="A29" s="6" t="s">
        <v>126</v>
      </c>
      <c r="B29" s="17" t="n">
        <v>250</v>
      </c>
      <c r="C29" s="6" t="s">
        <v>106</v>
      </c>
      <c r="D29" s="2"/>
      <c r="E29" s="2"/>
      <c r="F29" s="2"/>
    </row>
    <row r="30" customFormat="false" ht="15" hidden="false" customHeight="false" outlineLevel="0" collapsed="false">
      <c r="A30" s="6" t="s">
        <v>127</v>
      </c>
      <c r="B30" s="17" t="n">
        <v>40</v>
      </c>
      <c r="C30" s="6" t="s">
        <v>128</v>
      </c>
      <c r="D30" s="2"/>
      <c r="E30" s="2"/>
      <c r="F30" s="2"/>
    </row>
    <row r="31" customFormat="false" ht="15" hidden="false" customHeight="false" outlineLevel="0" collapsed="false">
      <c r="A31" s="4" t="s">
        <v>129</v>
      </c>
      <c r="B31" s="5"/>
      <c r="C31" s="5"/>
      <c r="D31" s="2"/>
      <c r="E31" s="2"/>
      <c r="F31" s="2"/>
    </row>
    <row r="32" customFormat="false" ht="15" hidden="false" customHeight="false" outlineLevel="0" collapsed="false">
      <c r="A32" s="6" t="s">
        <v>130</v>
      </c>
      <c r="B32" s="17" t="n">
        <v>60</v>
      </c>
      <c r="C32" s="6" t="s">
        <v>106</v>
      </c>
      <c r="D32" s="2"/>
      <c r="E32" s="2"/>
      <c r="F32" s="2"/>
    </row>
    <row r="33" customFormat="false" ht="15" hidden="false" customHeight="false" outlineLevel="0" collapsed="false">
      <c r="A33" s="6" t="s">
        <v>131</v>
      </c>
      <c r="B33" s="17" t="n">
        <v>50</v>
      </c>
      <c r="C33" s="6" t="s">
        <v>106</v>
      </c>
      <c r="D33" s="2"/>
      <c r="E33" s="2"/>
      <c r="F33" s="2"/>
    </row>
    <row r="34" customFormat="false" ht="15" hidden="false" customHeight="false" outlineLevel="0" collapsed="false">
      <c r="A34" s="6" t="s">
        <v>132</v>
      </c>
      <c r="B34" s="17" t="n">
        <v>120</v>
      </c>
      <c r="C34" s="6" t="s">
        <v>106</v>
      </c>
      <c r="D34" s="2"/>
      <c r="E34" s="2"/>
      <c r="F34" s="2"/>
    </row>
    <row r="35" customFormat="false" ht="15" hidden="false" customHeight="false" outlineLevel="0" collapsed="false">
      <c r="A35" s="6" t="s">
        <v>133</v>
      </c>
      <c r="B35" s="17" t="n">
        <v>25</v>
      </c>
      <c r="C35" s="6" t="s">
        <v>134</v>
      </c>
      <c r="D35" s="2"/>
      <c r="E35" s="2"/>
      <c r="F35" s="2"/>
    </row>
    <row r="36" customFormat="false" ht="15" hidden="false" customHeight="false" outlineLevel="0" collapsed="false">
      <c r="A36" s="4" t="s">
        <v>135</v>
      </c>
      <c r="B36" s="5"/>
      <c r="C36" s="5"/>
      <c r="D36" s="2"/>
      <c r="E36" s="2"/>
      <c r="F36" s="2"/>
    </row>
    <row r="37" customFormat="false" ht="15" hidden="false" customHeight="false" outlineLevel="0" collapsed="false">
      <c r="A37" s="6" t="s">
        <v>136</v>
      </c>
      <c r="B37" s="17" t="n">
        <v>150</v>
      </c>
      <c r="C37" s="6" t="s">
        <v>137</v>
      </c>
      <c r="D37" s="2"/>
      <c r="E37" s="2"/>
      <c r="F37" s="2"/>
    </row>
    <row r="38" customFormat="false" ht="15" hidden="false" customHeight="false" outlineLevel="0" collapsed="false">
      <c r="A38" s="6" t="s">
        <v>83</v>
      </c>
      <c r="B38" s="17" t="n">
        <v>350</v>
      </c>
      <c r="C38" s="6" t="s">
        <v>138</v>
      </c>
      <c r="D38" s="2"/>
      <c r="E38" s="2"/>
      <c r="F38" s="2"/>
    </row>
    <row r="39" customFormat="false" ht="15" hidden="false" customHeight="false" outlineLevel="0" collapsed="false">
      <c r="A39" s="4" t="s">
        <v>74</v>
      </c>
      <c r="B39" s="5"/>
      <c r="C39" s="5"/>
      <c r="D39" s="2"/>
      <c r="E39" s="2"/>
      <c r="F39" s="2"/>
    </row>
    <row r="40" customFormat="false" ht="15" hidden="false" customHeight="false" outlineLevel="0" collapsed="false">
      <c r="A40" s="6" t="s">
        <v>78</v>
      </c>
      <c r="B40" s="17" t="n">
        <v>150</v>
      </c>
      <c r="C40" s="6" t="s">
        <v>108</v>
      </c>
      <c r="D40" s="2"/>
      <c r="E40" s="2"/>
      <c r="F40" s="2"/>
    </row>
    <row r="41" customFormat="false" ht="15" hidden="false" customHeight="false" outlineLevel="0" collapsed="false">
      <c r="A41" s="6" t="s">
        <v>139</v>
      </c>
      <c r="B41" s="17" t="n">
        <v>450</v>
      </c>
      <c r="C41" s="6" t="s">
        <v>108</v>
      </c>
      <c r="D41" s="2"/>
      <c r="E41" s="2"/>
      <c r="F41" s="2"/>
    </row>
    <row r="42" customFormat="false" ht="15" hidden="false" customHeight="false" outlineLevel="0" collapsed="false">
      <c r="A42" s="6" t="s">
        <v>81</v>
      </c>
      <c r="B42" s="17" t="n">
        <v>150</v>
      </c>
      <c r="C42" s="6" t="s">
        <v>108</v>
      </c>
      <c r="D42" s="2"/>
      <c r="E42" s="2"/>
      <c r="F42" s="2"/>
    </row>
    <row r="43" customFormat="false" ht="15" hidden="false" customHeight="false" outlineLevel="0" collapsed="false">
      <c r="A43" s="6" t="s">
        <v>82</v>
      </c>
      <c r="B43" s="17" t="n">
        <v>150</v>
      </c>
      <c r="C43" s="6" t="s">
        <v>106</v>
      </c>
      <c r="D43" s="2"/>
      <c r="E43" s="2"/>
      <c r="F43" s="2"/>
    </row>
    <row r="44" customFormat="false" ht="15" hidden="false" customHeight="false" outlineLevel="0" collapsed="false">
      <c r="A44" s="6" t="s">
        <v>140</v>
      </c>
      <c r="B44" s="17" t="n">
        <v>1500</v>
      </c>
      <c r="C44" s="6" t="s">
        <v>141</v>
      </c>
      <c r="D44" s="2"/>
      <c r="E44" s="2"/>
      <c r="F44" s="2"/>
    </row>
    <row r="45" customFormat="false" ht="15" hidden="false" customHeight="false" outlineLevel="0" collapsed="false">
      <c r="A45" s="6" t="s">
        <v>142</v>
      </c>
      <c r="B45" s="17" t="n">
        <v>90</v>
      </c>
      <c r="C45" s="6" t="s">
        <v>143</v>
      </c>
      <c r="D45" s="2"/>
      <c r="E45" s="2"/>
      <c r="F45" s="2"/>
    </row>
    <row r="46" customFormat="false" ht="15" hidden="false" customHeight="false" outlineLevel="0" collapsed="false">
      <c r="A46" s="4" t="s">
        <v>144</v>
      </c>
      <c r="B46" s="5"/>
      <c r="C46" s="5"/>
      <c r="D46" s="2"/>
      <c r="E46" s="2"/>
      <c r="F46" s="2"/>
    </row>
    <row r="47" customFormat="false" ht="15" hidden="false" customHeight="false" outlineLevel="0" collapsed="false">
      <c r="A47" s="6" t="s">
        <v>145</v>
      </c>
      <c r="B47" s="17" t="n">
        <v>50</v>
      </c>
      <c r="C47" s="6" t="s">
        <v>94</v>
      </c>
      <c r="D47" s="2"/>
      <c r="E47" s="2"/>
      <c r="F47" s="2"/>
    </row>
    <row r="48" customFormat="false" ht="15" hidden="false" customHeight="false" outlineLevel="0" collapsed="false">
      <c r="A48" s="6" t="s">
        <v>146</v>
      </c>
      <c r="B48" s="19" t="n">
        <v>0.05</v>
      </c>
      <c r="C48" s="6" t="s">
        <v>147</v>
      </c>
      <c r="D48" s="2"/>
      <c r="E48" s="2"/>
      <c r="F48" s="2"/>
    </row>
    <row r="49" customFormat="false" ht="15" hidden="false" customHeight="false" outlineLevel="0" collapsed="false">
      <c r="A49" s="6" t="s">
        <v>148</v>
      </c>
      <c r="B49" s="19" t="n">
        <v>0.2</v>
      </c>
      <c r="C49" s="6" t="s">
        <v>149</v>
      </c>
      <c r="D49" s="2"/>
      <c r="E49" s="2"/>
      <c r="F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</row>
    <row r="51" customFormat="false" ht="15" hidden="false" customHeight="false" outlineLevel="0" collapsed="false">
      <c r="A51" s="8" t="s">
        <v>150</v>
      </c>
      <c r="B51" s="2"/>
      <c r="C51" s="2"/>
      <c r="D51" s="8" t="s">
        <v>151</v>
      </c>
      <c r="E51" s="2"/>
      <c r="F51" s="2"/>
    </row>
    <row r="52" customFormat="false" ht="15" hidden="false" customHeight="false" outlineLevel="0" collapsed="false">
      <c r="A52" s="6" t="s">
        <v>152</v>
      </c>
      <c r="B52" s="20" t="n">
        <v>0.9</v>
      </c>
      <c r="C52" s="2"/>
      <c r="D52" s="6" t="s">
        <v>153</v>
      </c>
      <c r="E52" s="20" t="n">
        <v>1</v>
      </c>
      <c r="F52" s="2"/>
    </row>
    <row r="53" customFormat="false" ht="15" hidden="false" customHeight="false" outlineLevel="0" collapsed="false">
      <c r="A53" s="6" t="s">
        <v>10</v>
      </c>
      <c r="B53" s="20" t="n">
        <v>1</v>
      </c>
      <c r="C53" s="2"/>
      <c r="D53" s="6" t="s">
        <v>12</v>
      </c>
      <c r="E53" s="20" t="n">
        <v>1.15</v>
      </c>
      <c r="F53" s="2"/>
    </row>
    <row r="54" customFormat="false" ht="15" hidden="false" customHeight="false" outlineLevel="0" collapsed="false">
      <c r="A54" s="6" t="s">
        <v>154</v>
      </c>
      <c r="B54" s="20" t="n">
        <v>1.3</v>
      </c>
      <c r="C54" s="2"/>
      <c r="D54" s="6" t="s">
        <v>155</v>
      </c>
      <c r="E54" s="20" t="n">
        <v>1.35</v>
      </c>
      <c r="F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</row>
    <row r="56" customFormat="false" ht="15" hidden="false" customHeight="false" outlineLevel="0" collapsed="false">
      <c r="A56" s="8" t="s">
        <v>156</v>
      </c>
      <c r="B56" s="2"/>
      <c r="C56" s="2"/>
      <c r="D56" s="2"/>
      <c r="E56" s="2"/>
      <c r="F56" s="2"/>
    </row>
    <row r="57" customFormat="false" ht="15" hidden="false" customHeight="false" outlineLevel="0" collapsed="false">
      <c r="A57" s="8" t="s">
        <v>157</v>
      </c>
      <c r="B57" s="8" t="s">
        <v>158</v>
      </c>
      <c r="C57" s="8" t="s">
        <v>8</v>
      </c>
      <c r="D57" s="8" t="s">
        <v>159</v>
      </c>
      <c r="E57" s="8" t="s">
        <v>160</v>
      </c>
      <c r="F57" s="8" t="s">
        <v>161</v>
      </c>
    </row>
    <row r="58" customFormat="false" ht="15" hidden="false" customHeight="false" outlineLevel="0" collapsed="false">
      <c r="A58" s="6" t="s">
        <v>162</v>
      </c>
      <c r="B58" s="17" t="n">
        <v>300</v>
      </c>
      <c r="C58" s="17" t="n">
        <v>450</v>
      </c>
      <c r="D58" s="17" t="n">
        <v>650</v>
      </c>
      <c r="E58" s="17" t="n">
        <v>900</v>
      </c>
      <c r="F58" s="17" t="n">
        <v>1200</v>
      </c>
    </row>
    <row r="59" customFormat="false" ht="15" hidden="false" customHeight="false" outlineLevel="0" collapsed="false">
      <c r="A59" s="6" t="s">
        <v>163</v>
      </c>
      <c r="B59" s="17" t="n">
        <v>400</v>
      </c>
      <c r="C59" s="17" t="n">
        <v>550</v>
      </c>
      <c r="D59" s="17" t="n">
        <v>800</v>
      </c>
      <c r="E59" s="17" t="n">
        <v>1100</v>
      </c>
      <c r="F59" s="17" t="n">
        <v>1500</v>
      </c>
    </row>
    <row r="60" customFormat="false" ht="15" hidden="false" customHeight="false" outlineLevel="0" collapsed="false">
      <c r="A60" s="6" t="s">
        <v>6</v>
      </c>
      <c r="B60" s="17" t="n">
        <v>650</v>
      </c>
      <c r="C60" s="17" t="n">
        <v>850</v>
      </c>
      <c r="D60" s="17" t="n">
        <v>1150</v>
      </c>
      <c r="E60" s="17" t="n">
        <v>1500</v>
      </c>
      <c r="F60" s="17" t="n">
        <v>2000</v>
      </c>
    </row>
    <row r="61" customFormat="false" ht="15" hidden="false" customHeight="false" outlineLevel="0" collapsed="false">
      <c r="A61" s="6" t="s">
        <v>164</v>
      </c>
      <c r="B61" s="17" t="n">
        <v>750</v>
      </c>
      <c r="C61" s="17" t="n">
        <v>950</v>
      </c>
      <c r="D61" s="17" t="n">
        <v>1250</v>
      </c>
      <c r="E61" s="17" t="n">
        <v>1600</v>
      </c>
      <c r="F61" s="17" t="n">
        <v>2100</v>
      </c>
    </row>
    <row r="62" customFormat="false" ht="15" hidden="false" customHeight="false" outlineLevel="0" collapsed="false">
      <c r="A62" s="6" t="s">
        <v>165</v>
      </c>
      <c r="B62" s="17" t="n">
        <v>250</v>
      </c>
      <c r="C62" s="17" t="n">
        <v>350</v>
      </c>
      <c r="D62" s="17" t="n">
        <v>500</v>
      </c>
      <c r="E62" s="17" t="n">
        <v>700</v>
      </c>
      <c r="F62" s="17" t="n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8" t="s">
        <v>167</v>
      </c>
      <c r="B2" s="21" t="n">
        <v>0.5</v>
      </c>
      <c r="C2" s="8" t="s">
        <v>168</v>
      </c>
      <c r="E2" s="7" t="n">
        <v>5</v>
      </c>
    </row>
    <row r="3" customFormat="false" ht="15" hidden="false" customHeight="false" outlineLevel="0" collapsed="false">
      <c r="A3" s="3" t="s">
        <v>169</v>
      </c>
      <c r="F3" s="8" t="s">
        <v>170</v>
      </c>
      <c r="G3" s="12" t="n">
        <f aca="false">SUM(G6:G106)</f>
        <v>0</v>
      </c>
    </row>
    <row r="5" customFormat="false" ht="26.85" hidden="false" customHeight="false" outlineLevel="0" collapsed="false">
      <c r="A5" s="22" t="s">
        <v>171</v>
      </c>
      <c r="B5" s="22" t="s">
        <v>39</v>
      </c>
      <c r="C5" s="22" t="s">
        <v>172</v>
      </c>
      <c r="D5" s="22" t="s">
        <v>173</v>
      </c>
      <c r="E5" s="22" t="s">
        <v>174</v>
      </c>
      <c r="F5" s="22" t="s">
        <v>175</v>
      </c>
      <c r="G5" s="22" t="s">
        <v>176</v>
      </c>
      <c r="H5" s="22" t="s">
        <v>177</v>
      </c>
      <c r="I5" s="22" t="s">
        <v>178</v>
      </c>
      <c r="J5" s="22" t="s">
        <v>179</v>
      </c>
    </row>
    <row r="6" customFormat="false" ht="15" hidden="false" customHeight="false" outlineLevel="0" collapsed="false">
      <c r="A6" s="14" t="s">
        <v>78</v>
      </c>
      <c r="B6" s="23"/>
      <c r="C6" s="23"/>
      <c r="D6" s="23"/>
      <c r="E6" s="23"/>
      <c r="F6" s="23"/>
      <c r="G6" s="23"/>
      <c r="H6" s="23"/>
      <c r="I6" s="23"/>
      <c r="J6" s="23"/>
    </row>
    <row r="7" customFormat="false" ht="15" hidden="false" customHeight="false" outlineLevel="0" collapsed="false">
      <c r="A7" s="24" t="s">
        <v>78</v>
      </c>
      <c r="B7" s="6" t="s">
        <v>180</v>
      </c>
      <c r="C7" s="17" t="n">
        <v>153</v>
      </c>
      <c r="D7" s="6" t="s">
        <v>181</v>
      </c>
      <c r="E7" s="25" t="n">
        <f aca="false">IF(ISNUMBER(C7),IF(D7="inc VAT",C7/1.2,C7),0)</f>
        <v>127.5</v>
      </c>
      <c r="F7" s="25" t="n">
        <f aca="false">IF(E7=0,"POA",CEILING(E7*(1+$B$2),$E$2))</f>
        <v>195</v>
      </c>
      <c r="G7" s="25" t="n">
        <f aca="false">IF(ISNUMBER(F7),F7*H7,0)</f>
        <v>0</v>
      </c>
      <c r="H7" s="7" t="n">
        <v>0</v>
      </c>
      <c r="I7" s="26" t="n">
        <f aca="false">'Rate Card'!$B$40</f>
        <v>150</v>
      </c>
      <c r="J7" s="3" t="s">
        <v>182</v>
      </c>
    </row>
    <row r="8" customFormat="false" ht="15" hidden="false" customHeight="false" outlineLevel="0" collapsed="false">
      <c r="A8" s="24" t="s">
        <v>78</v>
      </c>
      <c r="B8" s="6" t="s">
        <v>183</v>
      </c>
      <c r="C8" s="17" t="n">
        <v>223</v>
      </c>
      <c r="D8" s="6" t="s">
        <v>181</v>
      </c>
      <c r="E8" s="25" t="n">
        <f aca="false">IF(ISNUMBER(C8),IF(D8="inc VAT",C8/1.2,C8),0)</f>
        <v>185.833333333333</v>
      </c>
      <c r="F8" s="25" t="n">
        <f aca="false">IF(E8=0,"POA",CEILING(E8*(1+$B$2),$E$2))</f>
        <v>280</v>
      </c>
      <c r="G8" s="25" t="n">
        <f aca="false">IF(ISNUMBER(F8),F8*H8,0)</f>
        <v>0</v>
      </c>
      <c r="H8" s="7" t="n">
        <v>0</v>
      </c>
      <c r="J8" s="3"/>
    </row>
    <row r="9" customFormat="false" ht="15" hidden="false" customHeight="false" outlineLevel="0" collapsed="false">
      <c r="A9" s="24" t="s">
        <v>78</v>
      </c>
      <c r="B9" s="6" t="s">
        <v>184</v>
      </c>
      <c r="C9" s="17" t="n">
        <v>258</v>
      </c>
      <c r="D9" s="6" t="s">
        <v>181</v>
      </c>
      <c r="E9" s="25" t="n">
        <f aca="false">IF(ISNUMBER(C9),IF(D9="inc VAT",C9/1.2,C9),0)</f>
        <v>215</v>
      </c>
      <c r="F9" s="25" t="n">
        <f aca="false">IF(E9=0,"POA",CEILING(E9*(1+$B$2),$E$2))</f>
        <v>325</v>
      </c>
      <c r="G9" s="25" t="n">
        <f aca="false">IF(ISNUMBER(F9),F9*H9,0)</f>
        <v>0</v>
      </c>
      <c r="H9" s="7" t="n">
        <v>0</v>
      </c>
      <c r="J9" s="3"/>
    </row>
    <row r="10" customFormat="false" ht="15" hidden="false" customHeight="false" outlineLevel="0" collapsed="false">
      <c r="A10" s="24" t="s">
        <v>78</v>
      </c>
      <c r="B10" s="6" t="s">
        <v>185</v>
      </c>
      <c r="C10" s="17" t="n">
        <v>223</v>
      </c>
      <c r="D10" s="6" t="s">
        <v>181</v>
      </c>
      <c r="E10" s="25" t="n">
        <f aca="false">IF(ISNUMBER(C10),IF(D10="inc VAT",C10/1.2,C10),0)</f>
        <v>185.833333333333</v>
      </c>
      <c r="F10" s="25" t="n">
        <f aca="false">IF(E10=0,"POA",CEILING(E10*(1+$B$2),$E$2))</f>
        <v>280</v>
      </c>
      <c r="G10" s="25" t="n">
        <f aca="false">IF(ISNUMBER(F10),F10*H10,0)</f>
        <v>0</v>
      </c>
      <c r="H10" s="7" t="n">
        <v>0</v>
      </c>
      <c r="J10" s="3"/>
    </row>
    <row r="11" customFormat="false" ht="15" hidden="false" customHeight="false" outlineLevel="0" collapsed="false">
      <c r="A11" s="24" t="s">
        <v>78</v>
      </c>
      <c r="B11" s="6" t="s">
        <v>186</v>
      </c>
      <c r="C11" s="17" t="n">
        <v>218</v>
      </c>
      <c r="D11" s="6" t="s">
        <v>181</v>
      </c>
      <c r="E11" s="25" t="n">
        <f aca="false">IF(ISNUMBER(C11),IF(D11="inc VAT",C11/1.2,C11),0)</f>
        <v>181.666666666667</v>
      </c>
      <c r="F11" s="25" t="n">
        <f aca="false">IF(E11=0,"POA",CEILING(E11*(1+$B$2),$E$2))</f>
        <v>275</v>
      </c>
      <c r="G11" s="25" t="n">
        <f aca="false">IF(ISNUMBER(F11),F11*H11,0)</f>
        <v>0</v>
      </c>
      <c r="H11" s="7" t="n">
        <v>0</v>
      </c>
      <c r="J11" s="3"/>
    </row>
    <row r="12" customFormat="false" ht="15" hidden="false" customHeight="false" outlineLevel="0" collapsed="false">
      <c r="A12" s="24" t="s">
        <v>78</v>
      </c>
      <c r="B12" s="6" t="s">
        <v>187</v>
      </c>
      <c r="C12" s="17" t="n">
        <v>273</v>
      </c>
      <c r="D12" s="6" t="s">
        <v>181</v>
      </c>
      <c r="E12" s="25" t="n">
        <f aca="false">IF(ISNUMBER(C12),IF(D12="inc VAT",C12/1.2,C12),0)</f>
        <v>227.5</v>
      </c>
      <c r="F12" s="25" t="n">
        <f aca="false">IF(E12=0,"POA",CEILING(E12*(1+$B$2),$E$2))</f>
        <v>345</v>
      </c>
      <c r="G12" s="25" t="n">
        <f aca="false">IF(ISNUMBER(F12),F12*H12,0)</f>
        <v>0</v>
      </c>
      <c r="H12" s="7" t="n">
        <v>0</v>
      </c>
      <c r="J12" s="3"/>
    </row>
    <row r="13" customFormat="false" ht="15" hidden="false" customHeight="false" outlineLevel="0" collapsed="false">
      <c r="A13" s="24" t="s">
        <v>78</v>
      </c>
      <c r="B13" s="6" t="s">
        <v>164</v>
      </c>
      <c r="C13" s="17" t="n">
        <v>213</v>
      </c>
      <c r="D13" s="6" t="s">
        <v>181</v>
      </c>
      <c r="E13" s="25" t="n">
        <f aca="false">IF(ISNUMBER(C13),IF(D13="inc VAT",C13/1.2,C13),0)</f>
        <v>177.5</v>
      </c>
      <c r="F13" s="25" t="n">
        <f aca="false">IF(E13=0,"POA",CEILING(E13*(1+$B$2),$E$2))</f>
        <v>270</v>
      </c>
      <c r="G13" s="25" t="n">
        <f aca="false">IF(ISNUMBER(F13),F13*H13,0)</f>
        <v>0</v>
      </c>
      <c r="H13" s="7" t="n">
        <v>0</v>
      </c>
      <c r="J13" s="3"/>
    </row>
    <row r="14" customFormat="false" ht="15" hidden="false" customHeight="false" outlineLevel="0" collapsed="false">
      <c r="A14" s="24" t="s">
        <v>78</v>
      </c>
      <c r="B14" s="6" t="s">
        <v>188</v>
      </c>
      <c r="C14" s="17" t="n">
        <v>223</v>
      </c>
      <c r="D14" s="6" t="s">
        <v>181</v>
      </c>
      <c r="E14" s="25" t="n">
        <f aca="false">IF(ISNUMBER(C14),IF(D14="inc VAT",C14/1.2,C14),0)</f>
        <v>185.833333333333</v>
      </c>
      <c r="F14" s="25" t="n">
        <f aca="false">IF(E14=0,"POA",CEILING(E14*(1+$B$2),$E$2))</f>
        <v>280</v>
      </c>
      <c r="G14" s="25" t="n">
        <f aca="false">IF(ISNUMBER(F14),F14*H14,0)</f>
        <v>0</v>
      </c>
      <c r="H14" s="7" t="n">
        <v>0</v>
      </c>
      <c r="J14" s="3"/>
    </row>
    <row r="15" customFormat="false" ht="15" hidden="false" customHeight="false" outlineLevel="0" collapsed="false">
      <c r="A15" s="24" t="s">
        <v>78</v>
      </c>
      <c r="B15" s="6" t="s">
        <v>189</v>
      </c>
      <c r="C15" s="17" t="n">
        <v>458</v>
      </c>
      <c r="D15" s="6" t="s">
        <v>181</v>
      </c>
      <c r="E15" s="25" t="n">
        <f aca="false">IF(ISNUMBER(C15),IF(D15="inc VAT",C15/1.2,C15),0)</f>
        <v>381.666666666667</v>
      </c>
      <c r="F15" s="25" t="n">
        <f aca="false">IF(E15=0,"POA",CEILING(E15*(1+$B$2),$E$2))</f>
        <v>575</v>
      </c>
      <c r="G15" s="25" t="n">
        <f aca="false">IF(ISNUMBER(F15),F15*H15,0)</f>
        <v>0</v>
      </c>
      <c r="H15" s="7" t="n">
        <v>0</v>
      </c>
      <c r="J15" s="3"/>
    </row>
    <row r="16" customFormat="false" ht="15" hidden="false" customHeight="false" outlineLevel="0" collapsed="false">
      <c r="A16" s="24" t="s">
        <v>78</v>
      </c>
      <c r="B16" s="6" t="s">
        <v>190</v>
      </c>
      <c r="C16" s="17" t="n">
        <v>358</v>
      </c>
      <c r="D16" s="6" t="s">
        <v>181</v>
      </c>
      <c r="E16" s="25" t="n">
        <f aca="false">IF(ISNUMBER(C16),IF(D16="inc VAT",C16/1.2,C16),0)</f>
        <v>298.333333333333</v>
      </c>
      <c r="F16" s="25" t="n">
        <f aca="false">IF(E16=0,"POA",CEILING(E16*(1+$B$2),$E$2))</f>
        <v>450</v>
      </c>
      <c r="G16" s="25" t="n">
        <f aca="false">IF(ISNUMBER(F16),F16*H16,0)</f>
        <v>0</v>
      </c>
      <c r="H16" s="7" t="n">
        <v>0</v>
      </c>
      <c r="J16" s="3"/>
    </row>
    <row r="17" customFormat="false" ht="15" hidden="false" customHeight="false" outlineLevel="0" collapsed="false">
      <c r="A17" s="24" t="s">
        <v>78</v>
      </c>
      <c r="B17" s="6" t="s">
        <v>191</v>
      </c>
      <c r="C17" s="17" t="n">
        <v>178</v>
      </c>
      <c r="D17" s="6" t="s">
        <v>181</v>
      </c>
      <c r="E17" s="25" t="n">
        <f aca="false">IF(ISNUMBER(C17),IF(D17="inc VAT",C17/1.2,C17),0)</f>
        <v>148.333333333333</v>
      </c>
      <c r="F17" s="25" t="n">
        <f aca="false">IF(E17=0,"POA",CEILING(E17*(1+$B$2),$E$2))</f>
        <v>225</v>
      </c>
      <c r="G17" s="25" t="n">
        <f aca="false">IF(ISNUMBER(F17),F17*H17,0)</f>
        <v>0</v>
      </c>
      <c r="H17" s="7" t="n">
        <v>0</v>
      </c>
      <c r="J17" s="3"/>
    </row>
    <row r="18" customFormat="false" ht="15" hidden="false" customHeight="false" outlineLevel="0" collapsed="false">
      <c r="A18" s="24" t="s">
        <v>78</v>
      </c>
      <c r="B18" s="6" t="s">
        <v>192</v>
      </c>
      <c r="C18" s="17" t="n">
        <v>183</v>
      </c>
      <c r="D18" s="6" t="s">
        <v>181</v>
      </c>
      <c r="E18" s="25" t="n">
        <f aca="false">IF(ISNUMBER(C18),IF(D18="inc VAT",C18/1.2,C18),0)</f>
        <v>152.5</v>
      </c>
      <c r="F18" s="25" t="n">
        <f aca="false">IF(E18=0,"POA",CEILING(E18*(1+$B$2),$E$2))</f>
        <v>230</v>
      </c>
      <c r="G18" s="25" t="n">
        <f aca="false">IF(ISNUMBER(F18),F18*H18,0)</f>
        <v>0</v>
      </c>
      <c r="H18" s="7" t="n">
        <v>0</v>
      </c>
      <c r="J18" s="3"/>
    </row>
    <row r="19" customFormat="false" ht="15" hidden="false" customHeight="false" outlineLevel="0" collapsed="false">
      <c r="A19" s="24" t="s">
        <v>78</v>
      </c>
      <c r="B19" s="6" t="s">
        <v>193</v>
      </c>
      <c r="C19" s="17" t="n">
        <v>203</v>
      </c>
      <c r="D19" s="6" t="s">
        <v>181</v>
      </c>
      <c r="E19" s="25" t="n">
        <f aca="false">IF(ISNUMBER(C19),IF(D19="inc VAT",C19/1.2,C19),0)</f>
        <v>169.166666666667</v>
      </c>
      <c r="F19" s="25" t="n">
        <f aca="false">IF(E19=0,"POA",CEILING(E19*(1+$B$2),$E$2))</f>
        <v>255</v>
      </c>
      <c r="G19" s="25" t="n">
        <f aca="false">IF(ISNUMBER(F19),F19*H19,0)</f>
        <v>0</v>
      </c>
      <c r="H19" s="7" t="n">
        <v>0</v>
      </c>
      <c r="J19" s="3"/>
    </row>
    <row r="20" customFormat="false" ht="15" hidden="false" customHeight="false" outlineLevel="0" collapsed="false">
      <c r="A20" s="24" t="s">
        <v>78</v>
      </c>
      <c r="B20" s="6" t="s">
        <v>194</v>
      </c>
      <c r="C20" s="17" t="n">
        <v>50</v>
      </c>
      <c r="D20" s="6" t="s">
        <v>181</v>
      </c>
      <c r="E20" s="25" t="n">
        <f aca="false">IF(ISNUMBER(C20),IF(D20="inc VAT",C20/1.2,C20),0)</f>
        <v>41.6666666666667</v>
      </c>
      <c r="F20" s="25" t="n">
        <f aca="false">IF(E20=0,"POA",CEILING(E20*(1+$B$2),$E$2))</f>
        <v>65</v>
      </c>
      <c r="G20" s="25" t="n">
        <f aca="false">IF(ISNUMBER(F20),F20*H20,0)</f>
        <v>0</v>
      </c>
      <c r="H20" s="7" t="n">
        <v>0</v>
      </c>
      <c r="J20" s="3"/>
    </row>
    <row r="21" customFormat="false" ht="15" hidden="false" customHeight="false" outlineLevel="0" collapsed="false">
      <c r="A21" s="24" t="s">
        <v>78</v>
      </c>
      <c r="B21" s="6" t="s">
        <v>195</v>
      </c>
      <c r="C21" s="17" t="n">
        <v>22</v>
      </c>
      <c r="D21" s="6" t="s">
        <v>181</v>
      </c>
      <c r="E21" s="25" t="n">
        <f aca="false">IF(ISNUMBER(C21),IF(D21="inc VAT",C21/1.2,C21),0)</f>
        <v>18.3333333333333</v>
      </c>
      <c r="F21" s="25" t="n">
        <f aca="false">IF(E21=0,"POA",CEILING(E21*(1+$B$2),$E$2))</f>
        <v>30</v>
      </c>
      <c r="G21" s="25" t="n">
        <f aca="false">IF(ISNUMBER(F21),F21*H21,0)</f>
        <v>0</v>
      </c>
      <c r="H21" s="7" t="n">
        <v>0</v>
      </c>
      <c r="J21" s="3"/>
    </row>
    <row r="22" customFormat="false" ht="15" hidden="false" customHeight="false" outlineLevel="0" collapsed="false">
      <c r="A22" s="24" t="s">
        <v>78</v>
      </c>
      <c r="B22" s="6" t="s">
        <v>196</v>
      </c>
      <c r="C22" s="17" t="n">
        <v>76</v>
      </c>
      <c r="D22" s="6" t="s">
        <v>181</v>
      </c>
      <c r="E22" s="25" t="n">
        <f aca="false">IF(ISNUMBER(C22),IF(D22="inc VAT",C22/1.2,C22),0)</f>
        <v>63.3333333333333</v>
      </c>
      <c r="F22" s="25" t="n">
        <f aca="false">IF(E22=0,"POA",CEILING(E22*(1+$B$2),$E$2))</f>
        <v>95</v>
      </c>
      <c r="G22" s="25" t="n">
        <f aca="false">IF(ISNUMBER(F22),F22*H22,0)</f>
        <v>0</v>
      </c>
      <c r="H22" s="7" t="n">
        <v>0</v>
      </c>
      <c r="J22" s="3"/>
    </row>
    <row r="23" customFormat="false" ht="15" hidden="false" customHeight="false" outlineLevel="0" collapsed="false">
      <c r="A23" s="24" t="s">
        <v>78</v>
      </c>
      <c r="B23" s="6" t="s">
        <v>197</v>
      </c>
      <c r="C23" s="17" t="n">
        <v>35</v>
      </c>
      <c r="D23" s="6" t="s">
        <v>181</v>
      </c>
      <c r="E23" s="25" t="n">
        <f aca="false">IF(ISNUMBER(C23),IF(D23="inc VAT",C23/1.2,C23),0)</f>
        <v>29.1666666666667</v>
      </c>
      <c r="F23" s="25" t="n">
        <f aca="false">IF(E23=0,"POA",CEILING(E23*(1+$B$2),$E$2))</f>
        <v>45</v>
      </c>
      <c r="G23" s="25" t="n">
        <f aca="false">IF(ISNUMBER(F23),F23*H23,0)</f>
        <v>0</v>
      </c>
      <c r="H23" s="7" t="n">
        <v>0</v>
      </c>
      <c r="J23" s="3"/>
    </row>
    <row r="24" customFormat="false" ht="15" hidden="false" customHeight="false" outlineLevel="0" collapsed="false">
      <c r="A24" s="24" t="s">
        <v>78</v>
      </c>
      <c r="B24" s="6" t="s">
        <v>198</v>
      </c>
      <c r="C24" s="17" t="n">
        <v>25</v>
      </c>
      <c r="D24" s="6" t="s">
        <v>181</v>
      </c>
      <c r="E24" s="25" t="n">
        <f aca="false">IF(ISNUMBER(C24),IF(D24="inc VAT",C24/1.2,C24),0)</f>
        <v>20.8333333333333</v>
      </c>
      <c r="F24" s="25" t="n">
        <f aca="false">IF(E24=0,"POA",CEILING(E24*(1+$B$2),$E$2))</f>
        <v>35</v>
      </c>
      <c r="G24" s="25" t="n">
        <f aca="false">IF(ISNUMBER(F24),F24*H24,0)</f>
        <v>0</v>
      </c>
      <c r="H24" s="7" t="n">
        <v>0</v>
      </c>
      <c r="J24" s="3"/>
    </row>
    <row r="25" customFormat="false" ht="15" hidden="false" customHeight="false" outlineLevel="0" collapsed="false">
      <c r="A25" s="24" t="s">
        <v>78</v>
      </c>
      <c r="B25" s="6" t="s">
        <v>199</v>
      </c>
      <c r="C25" s="17" t="n">
        <v>75</v>
      </c>
      <c r="D25" s="6" t="s">
        <v>181</v>
      </c>
      <c r="E25" s="25" t="n">
        <f aca="false">IF(ISNUMBER(C25),IF(D25="inc VAT",C25/1.2,C25),0)</f>
        <v>62.5</v>
      </c>
      <c r="F25" s="25" t="n">
        <f aca="false">IF(E25=0,"POA",CEILING(E25*(1+$B$2),$E$2))</f>
        <v>95</v>
      </c>
      <c r="G25" s="25" t="n">
        <f aca="false">IF(ISNUMBER(F25),F25*H25,0)</f>
        <v>0</v>
      </c>
      <c r="H25" s="7" t="n">
        <v>0</v>
      </c>
      <c r="J25" s="3"/>
    </row>
    <row r="26" customFormat="false" ht="15" hidden="false" customHeight="false" outlineLevel="0" collapsed="false">
      <c r="A26" s="14" t="s">
        <v>200</v>
      </c>
      <c r="B26" s="23"/>
      <c r="C26" s="23"/>
      <c r="D26" s="23"/>
      <c r="E26" s="23"/>
      <c r="F26" s="23"/>
      <c r="G26" s="23"/>
      <c r="H26" s="23"/>
      <c r="I26" s="23"/>
      <c r="J26" s="23"/>
    </row>
    <row r="27" customFormat="false" ht="15" hidden="false" customHeight="false" outlineLevel="0" collapsed="false">
      <c r="A27" s="24" t="s">
        <v>200</v>
      </c>
      <c r="B27" s="6" t="s">
        <v>201</v>
      </c>
      <c r="C27" s="17" t="n">
        <v>200</v>
      </c>
      <c r="D27" s="6" t="s">
        <v>202</v>
      </c>
      <c r="E27" s="25" t="n">
        <f aca="false">IF(ISNUMBER(C27),IF(D27="inc VAT",C27/1.2,C27),0)</f>
        <v>200</v>
      </c>
      <c r="F27" s="25" t="n">
        <f aca="false">IF(E27=0,"POA",CEILING(E27*(1+$B$2),$E$2))</f>
        <v>300</v>
      </c>
      <c r="G27" s="25" t="n">
        <f aca="false">IF(ISNUMBER(F27),F27*H27,0)</f>
        <v>0</v>
      </c>
      <c r="H27" s="7" t="n">
        <v>0</v>
      </c>
      <c r="I27" s="26" t="n">
        <f aca="false">'Rate Card'!$B$41</f>
        <v>450</v>
      </c>
      <c r="J27" s="3" t="s">
        <v>203</v>
      </c>
    </row>
    <row r="28" customFormat="false" ht="15" hidden="false" customHeight="false" outlineLevel="0" collapsed="false">
      <c r="A28" s="24" t="s">
        <v>200</v>
      </c>
      <c r="B28" s="6" t="s">
        <v>204</v>
      </c>
      <c r="C28" s="17" t="n">
        <v>220</v>
      </c>
      <c r="D28" s="6" t="s">
        <v>202</v>
      </c>
      <c r="E28" s="25" t="n">
        <f aca="false">IF(ISNUMBER(C28),IF(D28="inc VAT",C28/1.2,C28),0)</f>
        <v>220</v>
      </c>
      <c r="F28" s="25" t="n">
        <f aca="false">IF(E28=0,"POA",CEILING(E28*(1+$B$2),$E$2))</f>
        <v>330</v>
      </c>
      <c r="G28" s="25" t="n">
        <f aca="false">IF(ISNUMBER(F28),F28*H28,0)</f>
        <v>0</v>
      </c>
      <c r="H28" s="7" t="n">
        <v>0</v>
      </c>
      <c r="J28" s="3"/>
    </row>
    <row r="29" customFormat="false" ht="15" hidden="false" customHeight="false" outlineLevel="0" collapsed="false">
      <c r="A29" s="24" t="s">
        <v>200</v>
      </c>
      <c r="B29" s="6" t="s">
        <v>205</v>
      </c>
      <c r="C29" s="17" t="n">
        <v>250</v>
      </c>
      <c r="D29" s="6" t="s">
        <v>202</v>
      </c>
      <c r="E29" s="25" t="n">
        <f aca="false">IF(ISNUMBER(C29),IF(D29="inc VAT",C29/1.2,C29),0)</f>
        <v>250</v>
      </c>
      <c r="F29" s="25" t="n">
        <f aca="false">IF(E29=0,"POA",CEILING(E29*(1+$B$2),$E$2))</f>
        <v>375</v>
      </c>
      <c r="G29" s="25" t="n">
        <f aca="false">IF(ISNUMBER(F29),F29*H29,0)</f>
        <v>0</v>
      </c>
      <c r="H29" s="7" t="n">
        <v>0</v>
      </c>
      <c r="J29" s="3"/>
    </row>
    <row r="30" customFormat="false" ht="15" hidden="false" customHeight="false" outlineLevel="0" collapsed="false">
      <c r="A30" s="24" t="s">
        <v>200</v>
      </c>
      <c r="B30" s="6" t="s">
        <v>206</v>
      </c>
      <c r="C30" s="17" t="n">
        <v>250</v>
      </c>
      <c r="D30" s="6" t="s">
        <v>202</v>
      </c>
      <c r="E30" s="25" t="n">
        <f aca="false">IF(ISNUMBER(C30),IF(D30="inc VAT",C30/1.2,C30),0)</f>
        <v>250</v>
      </c>
      <c r="F30" s="25" t="n">
        <f aca="false">IF(E30=0,"POA",CEILING(E30*(1+$B$2),$E$2))</f>
        <v>375</v>
      </c>
      <c r="G30" s="25" t="n">
        <f aca="false">IF(ISNUMBER(F30),F30*H30,0)</f>
        <v>0</v>
      </c>
      <c r="H30" s="7" t="n">
        <v>0</v>
      </c>
      <c r="J30" s="3"/>
    </row>
    <row r="31" customFormat="false" ht="15" hidden="false" customHeight="false" outlineLevel="0" collapsed="false">
      <c r="A31" s="24" t="s">
        <v>200</v>
      </c>
      <c r="B31" s="6" t="s">
        <v>207</v>
      </c>
      <c r="C31" s="17" t="n">
        <v>230</v>
      </c>
      <c r="D31" s="6" t="s">
        <v>202</v>
      </c>
      <c r="E31" s="25" t="n">
        <f aca="false">IF(ISNUMBER(C31),IF(D31="inc VAT",C31/1.2,C31),0)</f>
        <v>230</v>
      </c>
      <c r="F31" s="25" t="n">
        <f aca="false">IF(E31=0,"POA",CEILING(E31*(1+$B$2),$E$2))</f>
        <v>345</v>
      </c>
      <c r="G31" s="25" t="n">
        <f aca="false">IF(ISNUMBER(F31),F31*H31,0)</f>
        <v>0</v>
      </c>
      <c r="H31" s="7" t="n">
        <v>0</v>
      </c>
      <c r="J31" s="3"/>
    </row>
    <row r="32" customFormat="false" ht="15" hidden="false" customHeight="false" outlineLevel="0" collapsed="false">
      <c r="A32" s="24" t="s">
        <v>200</v>
      </c>
      <c r="B32" s="6" t="s">
        <v>208</v>
      </c>
      <c r="C32" s="17" t="n">
        <v>400</v>
      </c>
      <c r="D32" s="6" t="s">
        <v>202</v>
      </c>
      <c r="E32" s="25" t="n">
        <f aca="false">IF(ISNUMBER(C32),IF(D32="inc VAT",C32/1.2,C32),0)</f>
        <v>400</v>
      </c>
      <c r="F32" s="25" t="n">
        <f aca="false">IF(E32=0,"POA",CEILING(E32*(1+$B$2),$E$2))</f>
        <v>600</v>
      </c>
      <c r="G32" s="25" t="n">
        <f aca="false">IF(ISNUMBER(F32),F32*H32,0)</f>
        <v>0</v>
      </c>
      <c r="H32" s="7" t="n">
        <v>0</v>
      </c>
      <c r="J32" s="3"/>
    </row>
    <row r="33" customFormat="false" ht="15" hidden="false" customHeight="false" outlineLevel="0" collapsed="false">
      <c r="A33" s="24" t="s">
        <v>200</v>
      </c>
      <c r="B33" s="6" t="s">
        <v>209</v>
      </c>
      <c r="C33" s="17" t="n">
        <v>500</v>
      </c>
      <c r="D33" s="6" t="s">
        <v>202</v>
      </c>
      <c r="E33" s="25" t="n">
        <f aca="false">IF(ISNUMBER(C33),IF(D33="inc VAT",C33/1.2,C33),0)</f>
        <v>500</v>
      </c>
      <c r="F33" s="25" t="n">
        <f aca="false">IF(E33=0,"POA",CEILING(E33*(1+$B$2),$E$2))</f>
        <v>750</v>
      </c>
      <c r="G33" s="25" t="n">
        <f aca="false">IF(ISNUMBER(F33),F33*H33,0)</f>
        <v>0</v>
      </c>
      <c r="H33" s="7" t="n">
        <v>0</v>
      </c>
      <c r="J33" s="3"/>
    </row>
    <row r="34" customFormat="false" ht="15" hidden="false" customHeight="false" outlineLevel="0" collapsed="false">
      <c r="A34" s="24" t="s">
        <v>200</v>
      </c>
      <c r="B34" s="6" t="s">
        <v>210</v>
      </c>
      <c r="C34" s="17" t="n">
        <v>230</v>
      </c>
      <c r="D34" s="6" t="s">
        <v>202</v>
      </c>
      <c r="E34" s="25" t="n">
        <f aca="false">IF(ISNUMBER(C34),IF(D34="inc VAT",C34/1.2,C34),0)</f>
        <v>230</v>
      </c>
      <c r="F34" s="25" t="n">
        <f aca="false">IF(E34=0,"POA",CEILING(E34*(1+$B$2),$E$2))</f>
        <v>345</v>
      </c>
      <c r="G34" s="25" t="n">
        <f aca="false">IF(ISNUMBER(F34),F34*H34,0)</f>
        <v>0</v>
      </c>
      <c r="H34" s="7" t="n">
        <v>0</v>
      </c>
      <c r="J34" s="3"/>
    </row>
    <row r="35" customFormat="false" ht="15" hidden="false" customHeight="false" outlineLevel="0" collapsed="false">
      <c r="A35" s="24" t="s">
        <v>200</v>
      </c>
      <c r="B35" s="6" t="s">
        <v>211</v>
      </c>
      <c r="C35" s="17" t="n">
        <v>220</v>
      </c>
      <c r="D35" s="6" t="s">
        <v>202</v>
      </c>
      <c r="E35" s="25" t="n">
        <f aca="false">IF(ISNUMBER(C35),IF(D35="inc VAT",C35/1.2,C35),0)</f>
        <v>220</v>
      </c>
      <c r="F35" s="25" t="n">
        <f aca="false">IF(E35=0,"POA",CEILING(E35*(1+$B$2),$E$2))</f>
        <v>330</v>
      </c>
      <c r="G35" s="25" t="n">
        <f aca="false">IF(ISNUMBER(F35),F35*H35,0)</f>
        <v>0</v>
      </c>
      <c r="H35" s="7" t="n">
        <v>0</v>
      </c>
      <c r="J35" s="3"/>
    </row>
    <row r="36" customFormat="false" ht="15" hidden="false" customHeight="false" outlineLevel="0" collapsed="false">
      <c r="A36" s="24" t="s">
        <v>200</v>
      </c>
      <c r="B36" s="6" t="s">
        <v>212</v>
      </c>
      <c r="C36" s="17" t="n">
        <v>200</v>
      </c>
      <c r="D36" s="6" t="s">
        <v>202</v>
      </c>
      <c r="E36" s="25" t="n">
        <f aca="false">IF(ISNUMBER(C36),IF(D36="inc VAT",C36/1.2,C36),0)</f>
        <v>200</v>
      </c>
      <c r="F36" s="25" t="n">
        <f aca="false">IF(E36=0,"POA",CEILING(E36*(1+$B$2),$E$2))</f>
        <v>300</v>
      </c>
      <c r="G36" s="25" t="n">
        <f aca="false">IF(ISNUMBER(F36),F36*H36,0)</f>
        <v>0</v>
      </c>
      <c r="H36" s="7" t="n">
        <v>0</v>
      </c>
      <c r="J36" s="3"/>
    </row>
    <row r="37" customFormat="false" ht="15" hidden="false" customHeight="false" outlineLevel="0" collapsed="false">
      <c r="A37" s="24" t="s">
        <v>200</v>
      </c>
      <c r="B37" s="6" t="s">
        <v>213</v>
      </c>
      <c r="C37" s="17" t="n">
        <v>130</v>
      </c>
      <c r="D37" s="6" t="s">
        <v>202</v>
      </c>
      <c r="E37" s="25" t="n">
        <f aca="false">IF(ISNUMBER(C37),IF(D37="inc VAT",C37/1.2,C37),0)</f>
        <v>130</v>
      </c>
      <c r="F37" s="25" t="n">
        <f aca="false">IF(E37=0,"POA",CEILING(E37*(1+$B$2),$E$2))</f>
        <v>195</v>
      </c>
      <c r="G37" s="25" t="n">
        <f aca="false">IF(ISNUMBER(F37),F37*H37,0)</f>
        <v>0</v>
      </c>
      <c r="H37" s="7" t="n">
        <v>0</v>
      </c>
      <c r="J37" s="3"/>
    </row>
    <row r="38" customFormat="false" ht="15" hidden="false" customHeight="false" outlineLevel="0" collapsed="false">
      <c r="A38" s="24" t="s">
        <v>200</v>
      </c>
      <c r="B38" s="6" t="s">
        <v>214</v>
      </c>
      <c r="C38" s="17" t="n">
        <v>160</v>
      </c>
      <c r="D38" s="6" t="s">
        <v>202</v>
      </c>
      <c r="E38" s="25" t="n">
        <f aca="false">IF(ISNUMBER(C38),IF(D38="inc VAT",C38/1.2,C38),0)</f>
        <v>160</v>
      </c>
      <c r="F38" s="25" t="n">
        <f aca="false">IF(E38=0,"POA",CEILING(E38*(1+$B$2),$E$2))</f>
        <v>240</v>
      </c>
      <c r="G38" s="25" t="n">
        <f aca="false">IF(ISNUMBER(F38),F38*H38,0)</f>
        <v>0</v>
      </c>
      <c r="H38" s="7" t="n">
        <v>0</v>
      </c>
      <c r="J38" s="3"/>
    </row>
    <row r="39" customFormat="false" ht="15" hidden="false" customHeight="false" outlineLevel="0" collapsed="false">
      <c r="A39" s="24" t="s">
        <v>200</v>
      </c>
      <c r="B39" s="6" t="s">
        <v>215</v>
      </c>
      <c r="C39" s="17" t="n">
        <v>120</v>
      </c>
      <c r="D39" s="6" t="s">
        <v>202</v>
      </c>
      <c r="E39" s="25" t="n">
        <f aca="false">IF(ISNUMBER(C39),IF(D39="inc VAT",C39/1.2,C39),0)</f>
        <v>120</v>
      </c>
      <c r="F39" s="25" t="n">
        <f aca="false">IF(E39=0,"POA",CEILING(E39*(1+$B$2),$E$2))</f>
        <v>180</v>
      </c>
      <c r="G39" s="25" t="n">
        <f aca="false">IF(ISNUMBER(F39),F39*H39,0)</f>
        <v>0</v>
      </c>
      <c r="H39" s="7" t="n">
        <v>0</v>
      </c>
      <c r="I39" s="26" t="n">
        <f aca="false">'Rate Card'!$B$42</f>
        <v>150</v>
      </c>
      <c r="J39" s="3"/>
    </row>
    <row r="40" customFormat="false" ht="15" hidden="false" customHeight="false" outlineLevel="0" collapsed="false">
      <c r="A40" s="24" t="s">
        <v>200</v>
      </c>
      <c r="B40" s="6" t="s">
        <v>216</v>
      </c>
      <c r="C40" s="17" t="n">
        <v>70</v>
      </c>
      <c r="D40" s="6" t="s">
        <v>202</v>
      </c>
      <c r="E40" s="25" t="n">
        <f aca="false">IF(ISNUMBER(C40),IF(D40="inc VAT",C40/1.2,C40),0)</f>
        <v>70</v>
      </c>
      <c r="F40" s="25" t="n">
        <f aca="false">IF(E40=0,"POA",CEILING(E40*(1+$B$2),$E$2))</f>
        <v>105</v>
      </c>
      <c r="G40" s="25" t="n">
        <f aca="false">IF(ISNUMBER(F40),F40*H40,0)</f>
        <v>0</v>
      </c>
      <c r="H40" s="7" t="n">
        <v>0</v>
      </c>
      <c r="I40" s="26" t="n">
        <f aca="false">'Rate Card'!$B$42</f>
        <v>150</v>
      </c>
      <c r="J40" s="3"/>
    </row>
    <row r="41" customFormat="false" ht="15" hidden="false" customHeight="false" outlineLevel="0" collapsed="false">
      <c r="A41" s="14" t="s">
        <v>217</v>
      </c>
      <c r="B41" s="23"/>
      <c r="C41" s="23"/>
      <c r="D41" s="23"/>
      <c r="E41" s="23"/>
      <c r="F41" s="23"/>
      <c r="G41" s="23"/>
      <c r="H41" s="23"/>
      <c r="I41" s="23"/>
      <c r="J41" s="23"/>
    </row>
    <row r="42" customFormat="false" ht="15" hidden="false" customHeight="false" outlineLevel="0" collapsed="false">
      <c r="A42" s="24" t="s">
        <v>217</v>
      </c>
      <c r="B42" s="6" t="s">
        <v>218</v>
      </c>
      <c r="C42" s="17" t="n">
        <v>200</v>
      </c>
      <c r="D42" s="6" t="s">
        <v>202</v>
      </c>
      <c r="E42" s="25" t="n">
        <f aca="false">IF(ISNUMBER(C42),IF(D42="inc VAT",C42/1.2,C42),0)</f>
        <v>200</v>
      </c>
      <c r="F42" s="25" t="n">
        <f aca="false">IF(E42=0,"POA",CEILING(E42*(1+$B$2),$E$2))</f>
        <v>300</v>
      </c>
      <c r="G42" s="25" t="n">
        <f aca="false">IF(ISNUMBER(F42),F42*H42,0)</f>
        <v>0</v>
      </c>
      <c r="H42" s="7" t="n">
        <v>0</v>
      </c>
      <c r="J42" s="3"/>
    </row>
    <row r="43" customFormat="false" ht="15" hidden="false" customHeight="false" outlineLevel="0" collapsed="false">
      <c r="A43" s="24" t="s">
        <v>217</v>
      </c>
      <c r="B43" s="6" t="s">
        <v>219</v>
      </c>
      <c r="C43" s="17" t="n">
        <v>62</v>
      </c>
      <c r="D43" s="6" t="s">
        <v>202</v>
      </c>
      <c r="E43" s="25" t="n">
        <f aca="false">IF(ISNUMBER(C43),IF(D43="inc VAT",C43/1.2,C43),0)</f>
        <v>62</v>
      </c>
      <c r="F43" s="25" t="n">
        <f aca="false">IF(E43=0,"POA",CEILING(E43*(1+$B$2),$E$2))</f>
        <v>95</v>
      </c>
      <c r="G43" s="25" t="n">
        <f aca="false">IF(ISNUMBER(F43),F43*H43,0)</f>
        <v>0</v>
      </c>
      <c r="H43" s="7" t="n">
        <v>0</v>
      </c>
      <c r="J43" s="3"/>
    </row>
    <row r="44" customFormat="false" ht="15" hidden="false" customHeight="false" outlineLevel="0" collapsed="false">
      <c r="A44" s="24" t="s">
        <v>217</v>
      </c>
      <c r="B44" s="6" t="s">
        <v>220</v>
      </c>
      <c r="C44" s="17" t="n">
        <v>220</v>
      </c>
      <c r="D44" s="6" t="s">
        <v>202</v>
      </c>
      <c r="E44" s="25" t="n">
        <f aca="false">IF(ISNUMBER(C44),IF(D44="inc VAT",C44/1.2,C44),0)</f>
        <v>220</v>
      </c>
      <c r="F44" s="25" t="n">
        <f aca="false">IF(E44=0,"POA",CEILING(E44*(1+$B$2),$E$2))</f>
        <v>330</v>
      </c>
      <c r="G44" s="25" t="n">
        <f aca="false">IF(ISNUMBER(F44),F44*H44,0)</f>
        <v>0</v>
      </c>
      <c r="H44" s="7" t="n">
        <v>0</v>
      </c>
      <c r="J44" s="3"/>
    </row>
    <row r="45" customFormat="false" ht="15" hidden="false" customHeight="false" outlineLevel="0" collapsed="false">
      <c r="A45" s="24" t="s">
        <v>217</v>
      </c>
      <c r="B45" s="6" t="s">
        <v>221</v>
      </c>
      <c r="C45" s="17" t="n">
        <v>400</v>
      </c>
      <c r="D45" s="6" t="s">
        <v>202</v>
      </c>
      <c r="E45" s="25" t="n">
        <f aca="false">IF(ISNUMBER(C45),IF(D45="inc VAT",C45/1.2,C45),0)</f>
        <v>400</v>
      </c>
      <c r="F45" s="25" t="n">
        <f aca="false">IF(E45=0,"POA",CEILING(E45*(1+$B$2),$E$2))</f>
        <v>600</v>
      </c>
      <c r="G45" s="25" t="n">
        <f aca="false">IF(ISNUMBER(F45),F45*H45,0)</f>
        <v>0</v>
      </c>
      <c r="H45" s="7" t="n">
        <v>0</v>
      </c>
      <c r="J45" s="3"/>
    </row>
    <row r="46" customFormat="false" ht="15" hidden="false" customHeight="false" outlineLevel="0" collapsed="false">
      <c r="A46" s="24" t="s">
        <v>217</v>
      </c>
      <c r="B46" s="6" t="s">
        <v>222</v>
      </c>
      <c r="C46" s="17" t="s">
        <v>223</v>
      </c>
      <c r="D46" s="6" t="s">
        <v>202</v>
      </c>
      <c r="E46" s="25" t="n">
        <f aca="false">IF(ISNUMBER(C46),IF(D46="inc VAT",C46/1.2,C46),0)</f>
        <v>0</v>
      </c>
      <c r="F46" s="25" t="str">
        <f aca="false">IF(E46=0,"POA",CEILING(E46*(1+$B$2),$E$2))</f>
        <v>POA</v>
      </c>
      <c r="G46" s="25" t="n">
        <f aca="false">IF(ISNUMBER(F46),F46*H46,0)</f>
        <v>0</v>
      </c>
      <c r="H46" s="7" t="n">
        <v>0</v>
      </c>
      <c r="J46" s="3"/>
    </row>
    <row r="47" customFormat="false" ht="15" hidden="false" customHeight="false" outlineLevel="0" collapsed="false">
      <c r="A47" s="24" t="s">
        <v>217</v>
      </c>
      <c r="B47" s="6" t="s">
        <v>224</v>
      </c>
      <c r="C47" s="17" t="s">
        <v>223</v>
      </c>
      <c r="D47" s="6" t="s">
        <v>202</v>
      </c>
      <c r="E47" s="25" t="n">
        <f aca="false">IF(ISNUMBER(C47),IF(D47="inc VAT",C47/1.2,C47),0)</f>
        <v>0</v>
      </c>
      <c r="F47" s="25" t="str">
        <f aca="false">IF(E47=0,"POA",CEILING(E47*(1+$B$2),$E$2))</f>
        <v>POA</v>
      </c>
      <c r="G47" s="25" t="n">
        <f aca="false">IF(ISNUMBER(F47),F47*H47,0)</f>
        <v>0</v>
      </c>
      <c r="H47" s="7" t="n">
        <v>0</v>
      </c>
      <c r="J47" s="3"/>
    </row>
    <row r="48" customFormat="false" ht="15" hidden="false" customHeight="false" outlineLevel="0" collapsed="false">
      <c r="A48" s="24" t="s">
        <v>217</v>
      </c>
      <c r="B48" s="6" t="s">
        <v>225</v>
      </c>
      <c r="C48" s="17" t="n">
        <v>40</v>
      </c>
      <c r="D48" s="6" t="s">
        <v>202</v>
      </c>
      <c r="E48" s="25" t="n">
        <f aca="false">IF(ISNUMBER(C48),IF(D48="inc VAT",C48/1.2,C48),0)</f>
        <v>40</v>
      </c>
      <c r="F48" s="25" t="n">
        <f aca="false">IF(E48=0,"POA",CEILING(E48*(1+$B$2),$E$2))</f>
        <v>60</v>
      </c>
      <c r="G48" s="25" t="n">
        <f aca="false">IF(ISNUMBER(F48),F48*H48,0)</f>
        <v>0</v>
      </c>
      <c r="H48" s="7" t="n">
        <v>0</v>
      </c>
      <c r="J48" s="3"/>
    </row>
    <row r="49" customFormat="false" ht="15" hidden="false" customHeight="false" outlineLevel="0" collapsed="false">
      <c r="A49" s="24" t="s">
        <v>217</v>
      </c>
      <c r="B49" s="6" t="s">
        <v>226</v>
      </c>
      <c r="C49" s="17" t="n">
        <v>235</v>
      </c>
      <c r="D49" s="6" t="s">
        <v>202</v>
      </c>
      <c r="E49" s="25" t="n">
        <f aca="false">IF(ISNUMBER(C49),IF(D49="inc VAT",C49/1.2,C49),0)</f>
        <v>235</v>
      </c>
      <c r="F49" s="25" t="n">
        <f aca="false">IF(E49=0,"POA",CEILING(E49*(1+$B$2),$E$2))</f>
        <v>355</v>
      </c>
      <c r="G49" s="25" t="n">
        <f aca="false">IF(ISNUMBER(F49),F49*H49,0)</f>
        <v>0</v>
      </c>
      <c r="H49" s="7" t="n">
        <v>0</v>
      </c>
      <c r="J49" s="3"/>
    </row>
    <row r="50" customFormat="false" ht="15" hidden="false" customHeight="false" outlineLevel="0" collapsed="false">
      <c r="A50" s="24" t="s">
        <v>217</v>
      </c>
      <c r="B50" s="6" t="s">
        <v>227</v>
      </c>
      <c r="C50" s="17" t="n">
        <v>300</v>
      </c>
      <c r="D50" s="6" t="s">
        <v>202</v>
      </c>
      <c r="E50" s="25" t="n">
        <f aca="false">IF(ISNUMBER(C50),IF(D50="inc VAT",C50/1.2,C50),0)</f>
        <v>300</v>
      </c>
      <c r="F50" s="25" t="n">
        <f aca="false">IF(E50=0,"POA",CEILING(E50*(1+$B$2),$E$2))</f>
        <v>450</v>
      </c>
      <c r="G50" s="25" t="n">
        <f aca="false">IF(ISNUMBER(F50),F50*H50,0)</f>
        <v>0</v>
      </c>
      <c r="H50" s="7" t="n">
        <v>0</v>
      </c>
      <c r="J50" s="3"/>
    </row>
    <row r="51" customFormat="false" ht="15" hidden="false" customHeight="false" outlineLevel="0" collapsed="false">
      <c r="A51" s="24" t="s">
        <v>217</v>
      </c>
      <c r="B51" s="6" t="s">
        <v>228</v>
      </c>
      <c r="C51" s="17" t="n">
        <v>1000</v>
      </c>
      <c r="D51" s="6" t="s">
        <v>202</v>
      </c>
      <c r="E51" s="25" t="n">
        <f aca="false">IF(ISNUMBER(C51),IF(D51="inc VAT",C51/1.2,C51),0)</f>
        <v>1000</v>
      </c>
      <c r="F51" s="25" t="n">
        <f aca="false">IF(E51=0,"POA",CEILING(E51*(1+$B$2),$E$2))</f>
        <v>1500</v>
      </c>
      <c r="G51" s="25" t="n">
        <f aca="false">IF(ISNUMBER(F51),F51*H51,0)</f>
        <v>0</v>
      </c>
      <c r="H51" s="7" t="n">
        <v>0</v>
      </c>
      <c r="J51" s="3"/>
    </row>
    <row r="52" customFormat="false" ht="15" hidden="false" customHeight="false" outlineLevel="0" collapsed="false">
      <c r="A52" s="24" t="s">
        <v>217</v>
      </c>
      <c r="B52" s="6" t="s">
        <v>229</v>
      </c>
      <c r="C52" s="17" t="n">
        <v>250</v>
      </c>
      <c r="D52" s="6" t="s">
        <v>202</v>
      </c>
      <c r="E52" s="25" t="n">
        <f aca="false">IF(ISNUMBER(C52),IF(D52="inc VAT",C52/1.2,C52),0)</f>
        <v>250</v>
      </c>
      <c r="F52" s="25" t="n">
        <f aca="false">IF(E52=0,"POA",CEILING(E52*(1+$B$2),$E$2))</f>
        <v>375</v>
      </c>
      <c r="G52" s="25" t="n">
        <f aca="false">IF(ISNUMBER(F52),F52*H52,0)</f>
        <v>0</v>
      </c>
      <c r="H52" s="7" t="n">
        <v>0</v>
      </c>
      <c r="J52" s="3"/>
    </row>
    <row r="53" customFormat="false" ht="15" hidden="false" customHeight="false" outlineLevel="0" collapsed="false">
      <c r="A53" s="14" t="s">
        <v>230</v>
      </c>
      <c r="B53" s="23"/>
      <c r="C53" s="23"/>
      <c r="D53" s="23"/>
      <c r="E53" s="23"/>
      <c r="F53" s="23"/>
      <c r="G53" s="23"/>
      <c r="H53" s="23"/>
      <c r="I53" s="23"/>
      <c r="J53" s="23"/>
    </row>
    <row r="54" customFormat="false" ht="15" hidden="false" customHeight="false" outlineLevel="0" collapsed="false">
      <c r="A54" s="24" t="s">
        <v>230</v>
      </c>
      <c r="B54" s="6" t="s">
        <v>231</v>
      </c>
      <c r="C54" s="17" t="n">
        <v>45</v>
      </c>
      <c r="D54" s="6" t="s">
        <v>202</v>
      </c>
      <c r="E54" s="25" t="n">
        <f aca="false">IF(ISNUMBER(C54),IF(D54="inc VAT",C54/1.2,C54),0)</f>
        <v>45</v>
      </c>
      <c r="F54" s="25" t="n">
        <f aca="false">IF(E54=0,"POA",CEILING(E54*(1+$B$2),$E$2))</f>
        <v>70</v>
      </c>
      <c r="G54" s="25" t="n">
        <f aca="false">IF(ISNUMBER(F54),F54*H54,0)</f>
        <v>0</v>
      </c>
      <c r="H54" s="7" t="n">
        <v>0</v>
      </c>
      <c r="J54" s="3"/>
    </row>
    <row r="55" customFormat="false" ht="15" hidden="false" customHeight="false" outlineLevel="0" collapsed="false">
      <c r="A55" s="24" t="s">
        <v>230</v>
      </c>
      <c r="B55" s="6" t="s">
        <v>232</v>
      </c>
      <c r="C55" s="17" t="n">
        <v>40</v>
      </c>
      <c r="D55" s="6" t="s">
        <v>202</v>
      </c>
      <c r="E55" s="25" t="n">
        <f aca="false">IF(ISNUMBER(C55),IF(D55="inc VAT",C55/1.2,C55),0)</f>
        <v>40</v>
      </c>
      <c r="F55" s="25" t="n">
        <f aca="false">IF(E55=0,"POA",CEILING(E55*(1+$B$2),$E$2))</f>
        <v>60</v>
      </c>
      <c r="G55" s="25" t="n">
        <f aca="false">IF(ISNUMBER(F55),F55*H55,0)</f>
        <v>0</v>
      </c>
      <c r="H55" s="7" t="n">
        <v>0</v>
      </c>
      <c r="J55" s="3"/>
    </row>
    <row r="56" customFormat="false" ht="15" hidden="false" customHeight="false" outlineLevel="0" collapsed="false">
      <c r="A56" s="24" t="s">
        <v>230</v>
      </c>
      <c r="B56" s="6" t="s">
        <v>233</v>
      </c>
      <c r="C56" s="17" t="n">
        <v>35</v>
      </c>
      <c r="D56" s="6" t="s">
        <v>202</v>
      </c>
      <c r="E56" s="25" t="n">
        <f aca="false">IF(ISNUMBER(C56),IF(D56="inc VAT",C56/1.2,C56),0)</f>
        <v>35</v>
      </c>
      <c r="F56" s="25" t="n">
        <f aca="false">IF(E56=0,"POA",CEILING(E56*(1+$B$2),$E$2))</f>
        <v>55</v>
      </c>
      <c r="G56" s="25" t="n">
        <f aca="false">IF(ISNUMBER(F56),F56*H56,0)</f>
        <v>0</v>
      </c>
      <c r="H56" s="7" t="n">
        <v>0</v>
      </c>
      <c r="J56" s="3"/>
    </row>
    <row r="57" customFormat="false" ht="15" hidden="false" customHeight="false" outlineLevel="0" collapsed="false">
      <c r="A57" s="24" t="s">
        <v>230</v>
      </c>
      <c r="B57" s="6" t="s">
        <v>234</v>
      </c>
      <c r="C57" s="17" t="n">
        <v>5</v>
      </c>
      <c r="D57" s="6" t="s">
        <v>202</v>
      </c>
      <c r="E57" s="25" t="n">
        <f aca="false">IF(ISNUMBER(C57),IF(D57="inc VAT",C57/1.2,C57),0)</f>
        <v>5</v>
      </c>
      <c r="F57" s="25" t="n">
        <f aca="false">IF(E57=0,"POA",CEILING(E57*(1+$B$2),$E$2))</f>
        <v>10</v>
      </c>
      <c r="G57" s="25" t="n">
        <f aca="false">IF(ISNUMBER(F57),F57*H57,0)</f>
        <v>0</v>
      </c>
      <c r="H57" s="7" t="n">
        <v>0</v>
      </c>
      <c r="J57" s="3"/>
    </row>
    <row r="58" customFormat="false" ht="15" hidden="false" customHeight="false" outlineLevel="0" collapsed="false">
      <c r="A58" s="24" t="s">
        <v>230</v>
      </c>
      <c r="B58" s="6" t="s">
        <v>235</v>
      </c>
      <c r="C58" s="17" t="n">
        <v>30</v>
      </c>
      <c r="D58" s="6" t="s">
        <v>202</v>
      </c>
      <c r="E58" s="25" t="n">
        <f aca="false">IF(ISNUMBER(C58),IF(D58="inc VAT",C58/1.2,C58),0)</f>
        <v>30</v>
      </c>
      <c r="F58" s="25" t="n">
        <f aca="false">IF(E58=0,"POA",CEILING(E58*(1+$B$2),$E$2))</f>
        <v>45</v>
      </c>
      <c r="G58" s="25" t="n">
        <f aca="false">IF(ISNUMBER(F58),F58*H58,0)</f>
        <v>0</v>
      </c>
      <c r="H58" s="7" t="n">
        <v>0</v>
      </c>
      <c r="J58" s="3"/>
    </row>
    <row r="59" customFormat="false" ht="15" hidden="false" customHeight="false" outlineLevel="0" collapsed="false">
      <c r="A59" s="14" t="s">
        <v>236</v>
      </c>
      <c r="B59" s="23"/>
      <c r="C59" s="23"/>
      <c r="D59" s="23"/>
      <c r="E59" s="23"/>
      <c r="F59" s="23"/>
      <c r="G59" s="23"/>
      <c r="H59" s="23"/>
      <c r="I59" s="23"/>
      <c r="J59" s="23"/>
    </row>
    <row r="60" customFormat="false" ht="15" hidden="false" customHeight="false" outlineLevel="0" collapsed="false">
      <c r="A60" s="24" t="s">
        <v>236</v>
      </c>
      <c r="B60" s="6" t="s">
        <v>237</v>
      </c>
      <c r="C60" s="17" t="n">
        <v>35</v>
      </c>
      <c r="D60" s="6" t="s">
        <v>202</v>
      </c>
      <c r="E60" s="25" t="n">
        <f aca="false">IF(ISNUMBER(C60),IF(D60="inc VAT",C60/1.2,C60),0)</f>
        <v>35</v>
      </c>
      <c r="F60" s="25" t="n">
        <f aca="false">IF(E60=0,"POA",CEILING(E60*(1+$B$2),$E$2))</f>
        <v>55</v>
      </c>
      <c r="G60" s="25" t="n">
        <f aca="false">IF(ISNUMBER(F60),F60*H60,0)</f>
        <v>0</v>
      </c>
      <c r="H60" s="7" t="n">
        <v>0</v>
      </c>
      <c r="J60" s="3"/>
    </row>
    <row r="61" customFormat="false" ht="15" hidden="false" customHeight="false" outlineLevel="0" collapsed="false">
      <c r="A61" s="24" t="s">
        <v>236</v>
      </c>
      <c r="B61" s="6" t="s">
        <v>238</v>
      </c>
      <c r="C61" s="17" t="n">
        <v>50</v>
      </c>
      <c r="D61" s="6" t="s">
        <v>202</v>
      </c>
      <c r="E61" s="25" t="n">
        <f aca="false">IF(ISNUMBER(C61),IF(D61="inc VAT",C61/1.2,C61),0)</f>
        <v>50</v>
      </c>
      <c r="F61" s="25" t="n">
        <f aca="false">IF(E61=0,"POA",CEILING(E61*(1+$B$2),$E$2))</f>
        <v>75</v>
      </c>
      <c r="G61" s="25" t="n">
        <f aca="false">IF(ISNUMBER(F61),F61*H61,0)</f>
        <v>0</v>
      </c>
      <c r="H61" s="7" t="n">
        <v>0</v>
      </c>
      <c r="J61" s="3"/>
    </row>
    <row r="62" customFormat="false" ht="15" hidden="false" customHeight="false" outlineLevel="0" collapsed="false">
      <c r="A62" s="24" t="s">
        <v>236</v>
      </c>
      <c r="B62" s="6" t="s">
        <v>239</v>
      </c>
      <c r="C62" s="17" t="n">
        <v>45</v>
      </c>
      <c r="D62" s="6" t="s">
        <v>202</v>
      </c>
      <c r="E62" s="25" t="n">
        <f aca="false">IF(ISNUMBER(C62),IF(D62="inc VAT",C62/1.2,C62),0)</f>
        <v>45</v>
      </c>
      <c r="F62" s="25" t="n">
        <f aca="false">IF(E62=0,"POA",CEILING(E62*(1+$B$2),$E$2))</f>
        <v>70</v>
      </c>
      <c r="G62" s="25" t="n">
        <f aca="false">IF(ISNUMBER(F62),F62*H62,0)</f>
        <v>0</v>
      </c>
      <c r="H62" s="7" t="n">
        <v>0</v>
      </c>
      <c r="J62" s="3"/>
    </row>
    <row r="63" customFormat="false" ht="15" hidden="false" customHeight="false" outlineLevel="0" collapsed="false">
      <c r="A63" s="14" t="s">
        <v>240</v>
      </c>
      <c r="B63" s="23"/>
      <c r="C63" s="23"/>
      <c r="D63" s="23"/>
      <c r="E63" s="23"/>
      <c r="F63" s="23"/>
      <c r="G63" s="23"/>
      <c r="H63" s="23"/>
      <c r="I63" s="23"/>
      <c r="J63" s="23"/>
    </row>
    <row r="64" customFormat="false" ht="15" hidden="false" customHeight="false" outlineLevel="0" collapsed="false">
      <c r="A64" s="24" t="s">
        <v>240</v>
      </c>
      <c r="B64" s="6" t="s">
        <v>241</v>
      </c>
      <c r="C64" s="17" t="n">
        <v>5</v>
      </c>
      <c r="D64" s="6" t="s">
        <v>202</v>
      </c>
      <c r="E64" s="25" t="n">
        <f aca="false">IF(ISNUMBER(C64),IF(D64="inc VAT",C64/1.2,C64),0)</f>
        <v>5</v>
      </c>
      <c r="F64" s="25" t="n">
        <f aca="false">IF(E64=0,"POA",CEILING(E64*(1+$B$2),$E$2))</f>
        <v>10</v>
      </c>
      <c r="G64" s="25" t="n">
        <f aca="false">IF(ISNUMBER(F64),F64*H64,0)</f>
        <v>0</v>
      </c>
      <c r="H64" s="7" t="n">
        <v>0</v>
      </c>
      <c r="J64" s="3"/>
    </row>
    <row r="65" customFormat="false" ht="15" hidden="false" customHeight="false" outlineLevel="0" collapsed="false">
      <c r="A65" s="24" t="s">
        <v>240</v>
      </c>
      <c r="B65" s="6" t="s">
        <v>242</v>
      </c>
      <c r="C65" s="17" t="n">
        <v>35</v>
      </c>
      <c r="D65" s="6" t="s">
        <v>202</v>
      </c>
      <c r="E65" s="25" t="n">
        <f aca="false">IF(ISNUMBER(C65),IF(D65="inc VAT",C65/1.2,C65),0)</f>
        <v>35</v>
      </c>
      <c r="F65" s="25" t="n">
        <f aca="false">IF(E65=0,"POA",CEILING(E65*(1+$B$2),$E$2))</f>
        <v>55</v>
      </c>
      <c r="G65" s="25" t="n">
        <f aca="false">IF(ISNUMBER(F65),F65*H65,0)</f>
        <v>0</v>
      </c>
      <c r="H65" s="7" t="n">
        <v>0</v>
      </c>
      <c r="J65" s="3"/>
    </row>
    <row r="66" customFormat="false" ht="15" hidden="false" customHeight="false" outlineLevel="0" collapsed="false">
      <c r="A66" s="14" t="s">
        <v>243</v>
      </c>
      <c r="B66" s="23"/>
      <c r="C66" s="23"/>
      <c r="D66" s="23"/>
      <c r="E66" s="23"/>
      <c r="F66" s="23"/>
      <c r="G66" s="23"/>
      <c r="H66" s="23"/>
      <c r="I66" s="23"/>
      <c r="J66" s="23"/>
    </row>
    <row r="67" customFormat="false" ht="15" hidden="false" customHeight="false" outlineLevel="0" collapsed="false">
      <c r="A67" s="24" t="s">
        <v>243</v>
      </c>
      <c r="B67" s="6" t="s">
        <v>63</v>
      </c>
      <c r="C67" s="17" t="n">
        <v>100</v>
      </c>
      <c r="D67" s="6" t="s">
        <v>202</v>
      </c>
      <c r="E67" s="25" t="n">
        <f aca="false">IF(ISNUMBER(C67),IF(D67="inc VAT",C67/1.2,C67),0)</f>
        <v>100</v>
      </c>
      <c r="F67" s="25" t="n">
        <f aca="false">IF(E67=0,"POA",CEILING(E67*(1+$B$2),$E$2))</f>
        <v>150</v>
      </c>
      <c r="G67" s="25" t="n">
        <f aca="false">IF(ISNUMBER(F67),F67*H67,0)</f>
        <v>0</v>
      </c>
      <c r="H67" s="7" t="n">
        <v>0</v>
      </c>
      <c r="I67" s="26" t="n">
        <f aca="false">'Rate Card'!$B$34</f>
        <v>120</v>
      </c>
      <c r="J67" s="3"/>
    </row>
    <row r="68" customFormat="false" ht="15" hidden="false" customHeight="false" outlineLevel="0" collapsed="false">
      <c r="A68" s="24" t="s">
        <v>243</v>
      </c>
      <c r="B68" s="6" t="s">
        <v>244</v>
      </c>
      <c r="C68" s="17" t="n">
        <v>95</v>
      </c>
      <c r="D68" s="6" t="s">
        <v>202</v>
      </c>
      <c r="E68" s="25" t="n">
        <f aca="false">IF(ISNUMBER(C68),IF(D68="inc VAT",C68/1.2,C68),0)</f>
        <v>95</v>
      </c>
      <c r="F68" s="25" t="n">
        <f aca="false">IF(E68=0,"POA",CEILING(E68*(1+$B$2),$E$2))</f>
        <v>145</v>
      </c>
      <c r="G68" s="25" t="n">
        <f aca="false">IF(ISNUMBER(F68),F68*H68,0)</f>
        <v>0</v>
      </c>
      <c r="H68" s="7" t="n">
        <v>0</v>
      </c>
      <c r="J68" s="3"/>
    </row>
    <row r="69" customFormat="false" ht="15" hidden="false" customHeight="false" outlineLevel="0" collapsed="false">
      <c r="A69" s="24" t="s">
        <v>243</v>
      </c>
      <c r="B69" s="6" t="s">
        <v>245</v>
      </c>
      <c r="C69" s="17" t="n">
        <v>150</v>
      </c>
      <c r="D69" s="6" t="s">
        <v>202</v>
      </c>
      <c r="E69" s="25" t="n">
        <f aca="false">IF(ISNUMBER(C69),IF(D69="inc VAT",C69/1.2,C69),0)</f>
        <v>150</v>
      </c>
      <c r="F69" s="25" t="n">
        <f aca="false">IF(E69=0,"POA",CEILING(E69*(1+$B$2),$E$2))</f>
        <v>225</v>
      </c>
      <c r="G69" s="25" t="n">
        <f aca="false">IF(ISNUMBER(F69),F69*H69,0)</f>
        <v>0</v>
      </c>
      <c r="H69" s="7" t="n">
        <v>0</v>
      </c>
      <c r="J69" s="3"/>
    </row>
    <row r="70" customFormat="false" ht="15" hidden="false" customHeight="false" outlineLevel="0" collapsed="false">
      <c r="A70" s="24" t="s">
        <v>243</v>
      </c>
      <c r="B70" s="6" t="s">
        <v>246</v>
      </c>
      <c r="C70" s="17" t="n">
        <v>2500</v>
      </c>
      <c r="D70" s="6" t="s">
        <v>202</v>
      </c>
      <c r="E70" s="25" t="n">
        <f aca="false">IF(ISNUMBER(C70),IF(D70="inc VAT",C70/1.2,C70),0)</f>
        <v>2500</v>
      </c>
      <c r="F70" s="25" t="n">
        <f aca="false">IF(E70=0,"POA",CEILING(E70*(1+$B$2),$E$2))</f>
        <v>3750</v>
      </c>
      <c r="G70" s="25" t="n">
        <f aca="false">IF(ISNUMBER(F70),F70*H70,0)</f>
        <v>0</v>
      </c>
      <c r="H70" s="7" t="n">
        <v>0</v>
      </c>
      <c r="J70" s="3"/>
    </row>
    <row r="71" customFormat="false" ht="15" hidden="false" customHeight="false" outlineLevel="0" collapsed="false">
      <c r="A71" s="14" t="s">
        <v>247</v>
      </c>
      <c r="B71" s="23"/>
      <c r="C71" s="23"/>
      <c r="D71" s="23"/>
      <c r="E71" s="23"/>
      <c r="F71" s="23"/>
      <c r="G71" s="23"/>
      <c r="H71" s="23"/>
      <c r="I71" s="23"/>
      <c r="J71" s="23"/>
    </row>
    <row r="72" customFormat="false" ht="15" hidden="false" customHeight="false" outlineLevel="0" collapsed="false">
      <c r="A72" s="24" t="s">
        <v>247</v>
      </c>
      <c r="B72" s="6" t="s">
        <v>248</v>
      </c>
      <c r="C72" s="17" t="n">
        <v>900</v>
      </c>
      <c r="D72" s="6" t="s">
        <v>202</v>
      </c>
      <c r="E72" s="25" t="n">
        <f aca="false">IF(ISNUMBER(C72),IF(D72="inc VAT",C72/1.2,C72),0)</f>
        <v>900</v>
      </c>
      <c r="F72" s="25" t="n">
        <f aca="false">IF(E72=0,"POA",CEILING(E72*(1+$B$2),$E$2))</f>
        <v>1350</v>
      </c>
      <c r="G72" s="25" t="n">
        <f aca="false">IF(ISNUMBER(F72),F72*H72,0)</f>
        <v>0</v>
      </c>
      <c r="H72" s="7" t="n">
        <v>0</v>
      </c>
      <c r="J72" s="3"/>
    </row>
    <row r="73" customFormat="false" ht="15" hidden="false" customHeight="false" outlineLevel="0" collapsed="false">
      <c r="A73" s="24" t="s">
        <v>247</v>
      </c>
      <c r="B73" s="6" t="s">
        <v>249</v>
      </c>
      <c r="C73" s="17" t="n">
        <v>600</v>
      </c>
      <c r="D73" s="6" t="s">
        <v>202</v>
      </c>
      <c r="E73" s="25" t="n">
        <f aca="false">IF(ISNUMBER(C73),IF(D73="inc VAT",C73/1.2,C73),0)</f>
        <v>600</v>
      </c>
      <c r="F73" s="25" t="n">
        <f aca="false">IF(E73=0,"POA",CEILING(E73*(1+$B$2),$E$2))</f>
        <v>900</v>
      </c>
      <c r="G73" s="25" t="n">
        <f aca="false">IF(ISNUMBER(F73),F73*H73,0)</f>
        <v>0</v>
      </c>
      <c r="H73" s="7" t="n">
        <v>0</v>
      </c>
      <c r="J73" s="3"/>
    </row>
    <row r="74" customFormat="false" ht="15" hidden="false" customHeight="false" outlineLevel="0" collapsed="false">
      <c r="A74" s="24" t="s">
        <v>247</v>
      </c>
      <c r="B74" s="6" t="s">
        <v>250</v>
      </c>
      <c r="C74" s="17" t="n">
        <v>650</v>
      </c>
      <c r="D74" s="6" t="s">
        <v>202</v>
      </c>
      <c r="E74" s="25" t="n">
        <f aca="false">IF(ISNUMBER(C74),IF(D74="inc VAT",C74/1.2,C74),0)</f>
        <v>650</v>
      </c>
      <c r="F74" s="25" t="n">
        <f aca="false">IF(E74=0,"POA",CEILING(E74*(1+$B$2),$E$2))</f>
        <v>975</v>
      </c>
      <c r="G74" s="25" t="n">
        <f aca="false">IF(ISNUMBER(F74),F74*H74,0)</f>
        <v>0</v>
      </c>
      <c r="H74" s="7" t="n">
        <v>0</v>
      </c>
      <c r="J74" s="3"/>
    </row>
    <row r="75" customFormat="false" ht="15" hidden="false" customHeight="false" outlineLevel="0" collapsed="false">
      <c r="A75" s="14" t="s">
        <v>251</v>
      </c>
      <c r="B75" s="23"/>
      <c r="C75" s="23"/>
      <c r="D75" s="23"/>
      <c r="E75" s="23"/>
      <c r="F75" s="23"/>
      <c r="G75" s="23"/>
      <c r="H75" s="23"/>
      <c r="I75" s="23"/>
      <c r="J75" s="23"/>
    </row>
    <row r="76" customFormat="false" ht="15" hidden="false" customHeight="false" outlineLevel="0" collapsed="false">
      <c r="A76" s="24" t="s">
        <v>251</v>
      </c>
      <c r="B76" s="6" t="s">
        <v>252</v>
      </c>
      <c r="C76" s="17" t="n">
        <v>30</v>
      </c>
      <c r="D76" s="6" t="s">
        <v>181</v>
      </c>
      <c r="E76" s="25" t="n">
        <f aca="false">IF(ISNUMBER(C76),IF(D76="inc VAT",C76/1.2,C76),0)</f>
        <v>25</v>
      </c>
      <c r="F76" s="25" t="n">
        <f aca="false">IF(E76=0,"POA",CEILING(E76*(1+$B$2),$E$2))</f>
        <v>40</v>
      </c>
      <c r="G76" s="25" t="n">
        <f aca="false">IF(ISNUMBER(F76),F76*H76,0)</f>
        <v>0</v>
      </c>
      <c r="H76" s="7" t="n">
        <v>0</v>
      </c>
      <c r="J76" s="3"/>
    </row>
    <row r="77" customFormat="false" ht="15" hidden="false" customHeight="false" outlineLevel="0" collapsed="false">
      <c r="A77" s="24" t="s">
        <v>251</v>
      </c>
      <c r="B77" s="6" t="s">
        <v>253</v>
      </c>
      <c r="C77" s="17" t="n">
        <v>38</v>
      </c>
      <c r="D77" s="6" t="s">
        <v>181</v>
      </c>
      <c r="E77" s="25" t="n">
        <f aca="false">IF(ISNUMBER(C77),IF(D77="inc VAT",C77/1.2,C77),0)</f>
        <v>31.6666666666667</v>
      </c>
      <c r="F77" s="25" t="n">
        <f aca="false">IF(E77=0,"POA",CEILING(E77*(1+$B$2),$E$2))</f>
        <v>50</v>
      </c>
      <c r="G77" s="25" t="n">
        <f aca="false">IF(ISNUMBER(F77),F77*H77,0)</f>
        <v>0</v>
      </c>
      <c r="H77" s="7" t="n">
        <v>0</v>
      </c>
      <c r="J77" s="3"/>
    </row>
    <row r="78" customFormat="false" ht="15" hidden="false" customHeight="false" outlineLevel="0" collapsed="false">
      <c r="A78" s="24" t="s">
        <v>251</v>
      </c>
      <c r="B78" s="6" t="s">
        <v>254</v>
      </c>
      <c r="C78" s="17" t="n">
        <v>32</v>
      </c>
      <c r="D78" s="6" t="s">
        <v>181</v>
      </c>
      <c r="E78" s="25" t="n">
        <f aca="false">IF(ISNUMBER(C78),IF(D78="inc VAT",C78/1.2,C78),0)</f>
        <v>26.6666666666667</v>
      </c>
      <c r="F78" s="25" t="n">
        <f aca="false">IF(E78=0,"POA",CEILING(E78*(1+$B$2),$E$2))</f>
        <v>40</v>
      </c>
      <c r="G78" s="25" t="n">
        <f aca="false">IF(ISNUMBER(F78),F78*H78,0)</f>
        <v>0</v>
      </c>
      <c r="H78" s="7" t="n">
        <v>0</v>
      </c>
      <c r="J78" s="3"/>
    </row>
    <row r="79" customFormat="false" ht="15" hidden="false" customHeight="false" outlineLevel="0" collapsed="false">
      <c r="A79" s="24" t="s">
        <v>251</v>
      </c>
      <c r="B79" s="6" t="s">
        <v>255</v>
      </c>
      <c r="C79" s="17" t="n">
        <v>27</v>
      </c>
      <c r="D79" s="6" t="s">
        <v>181</v>
      </c>
      <c r="E79" s="25" t="n">
        <f aca="false">IF(ISNUMBER(C79),IF(D79="inc VAT",C79/1.2,C79),0)</f>
        <v>22.5</v>
      </c>
      <c r="F79" s="25" t="n">
        <f aca="false">IF(E79=0,"POA",CEILING(E79*(1+$B$2),$E$2))</f>
        <v>35</v>
      </c>
      <c r="G79" s="25" t="n">
        <f aca="false">IF(ISNUMBER(F79),F79*H79,0)</f>
        <v>0</v>
      </c>
      <c r="H79" s="7" t="n">
        <v>0</v>
      </c>
      <c r="J79" s="3"/>
    </row>
    <row r="80" customFormat="false" ht="15" hidden="false" customHeight="false" outlineLevel="0" collapsed="false">
      <c r="A80" s="24" t="s">
        <v>251</v>
      </c>
      <c r="B80" s="6" t="s">
        <v>256</v>
      </c>
      <c r="C80" s="17" t="n">
        <v>21</v>
      </c>
      <c r="D80" s="6" t="s">
        <v>181</v>
      </c>
      <c r="E80" s="25" t="n">
        <f aca="false">IF(ISNUMBER(C80),IF(D80="inc VAT",C80/1.2,C80),0)</f>
        <v>17.5</v>
      </c>
      <c r="F80" s="25" t="n">
        <f aca="false">IF(E80=0,"POA",CEILING(E80*(1+$B$2),$E$2))</f>
        <v>30</v>
      </c>
      <c r="G80" s="25" t="n">
        <f aca="false">IF(ISNUMBER(F80),F80*H80,0)</f>
        <v>0</v>
      </c>
      <c r="H80" s="7" t="n">
        <v>0</v>
      </c>
      <c r="J80" s="3"/>
    </row>
    <row r="81" customFormat="false" ht="15" hidden="false" customHeight="false" outlineLevel="0" collapsed="false">
      <c r="A81" s="24" t="s">
        <v>251</v>
      </c>
      <c r="B81" s="6" t="s">
        <v>257</v>
      </c>
      <c r="C81" s="17" t="n">
        <v>24</v>
      </c>
      <c r="D81" s="6" t="s">
        <v>181</v>
      </c>
      <c r="E81" s="25" t="n">
        <f aca="false">IF(ISNUMBER(C81),IF(D81="inc VAT",C81/1.2,C81),0)</f>
        <v>20</v>
      </c>
      <c r="F81" s="25" t="n">
        <f aca="false">IF(E81=0,"POA",CEILING(E81*(1+$B$2),$E$2))</f>
        <v>30</v>
      </c>
      <c r="G81" s="25" t="n">
        <f aca="false">IF(ISNUMBER(F81),F81*H81,0)</f>
        <v>0</v>
      </c>
      <c r="H81" s="7" t="n">
        <v>0</v>
      </c>
      <c r="J81" s="3"/>
    </row>
    <row r="82" customFormat="false" ht="15" hidden="false" customHeight="false" outlineLevel="0" collapsed="false">
      <c r="A82" s="24" t="s">
        <v>251</v>
      </c>
      <c r="B82" s="6" t="s">
        <v>258</v>
      </c>
      <c r="C82" s="17" t="n">
        <v>21</v>
      </c>
      <c r="D82" s="6" t="s">
        <v>181</v>
      </c>
      <c r="E82" s="25" t="n">
        <f aca="false">IF(ISNUMBER(C82),IF(D82="inc VAT",C82/1.2,C82),0)</f>
        <v>17.5</v>
      </c>
      <c r="F82" s="25" t="n">
        <f aca="false">IF(E82=0,"POA",CEILING(E82*(1+$B$2),$E$2))</f>
        <v>30</v>
      </c>
      <c r="G82" s="25" t="n">
        <f aca="false">IF(ISNUMBER(F82),F82*H82,0)</f>
        <v>0</v>
      </c>
      <c r="H82" s="7" t="n">
        <v>0</v>
      </c>
      <c r="J82" s="3"/>
    </row>
    <row r="83" customFormat="false" ht="15" hidden="false" customHeight="false" outlineLevel="0" collapsed="false">
      <c r="A83" s="24" t="s">
        <v>251</v>
      </c>
      <c r="B83" s="6" t="s">
        <v>259</v>
      </c>
      <c r="C83" s="17" t="n">
        <v>32</v>
      </c>
      <c r="D83" s="6" t="s">
        <v>181</v>
      </c>
      <c r="E83" s="25" t="n">
        <f aca="false">IF(ISNUMBER(C83),IF(D83="inc VAT",C83/1.2,C83),0)</f>
        <v>26.6666666666667</v>
      </c>
      <c r="F83" s="25" t="n">
        <f aca="false">IF(E83=0,"POA",CEILING(E83*(1+$B$2),$E$2))</f>
        <v>40</v>
      </c>
      <c r="G83" s="25" t="n">
        <f aca="false">IF(ISNUMBER(F83),F83*H83,0)</f>
        <v>0</v>
      </c>
      <c r="H83" s="7" t="n">
        <v>0</v>
      </c>
      <c r="J83" s="3"/>
    </row>
    <row r="84" customFormat="false" ht="15" hidden="false" customHeight="false" outlineLevel="0" collapsed="false">
      <c r="A84" s="24" t="s">
        <v>251</v>
      </c>
      <c r="B84" s="6" t="s">
        <v>260</v>
      </c>
      <c r="C84" s="17" t="s">
        <v>223</v>
      </c>
      <c r="D84" s="6" t="s">
        <v>181</v>
      </c>
      <c r="E84" s="25" t="n">
        <f aca="false">IF(ISNUMBER(C84),IF(D84="inc VAT",C84/1.2,C84),0)</f>
        <v>0</v>
      </c>
      <c r="F84" s="25" t="str">
        <f aca="false">IF(E84=0,"POA",CEILING(E84*(1+$B$2),$E$2))</f>
        <v>POA</v>
      </c>
      <c r="G84" s="25" t="n">
        <f aca="false">IF(ISNUMBER(F84),F84*H84,0)</f>
        <v>0</v>
      </c>
      <c r="H84" s="7" t="n">
        <v>0</v>
      </c>
      <c r="J84" s="3"/>
    </row>
    <row r="85" customFormat="false" ht="15" hidden="false" customHeight="false" outlineLevel="0" collapsed="false">
      <c r="A85" s="24" t="s">
        <v>251</v>
      </c>
      <c r="B85" s="6" t="s">
        <v>261</v>
      </c>
      <c r="C85" s="17" t="n">
        <v>18</v>
      </c>
      <c r="D85" s="6" t="s">
        <v>181</v>
      </c>
      <c r="E85" s="25" t="n">
        <f aca="false">IF(ISNUMBER(C85),IF(D85="inc VAT",C85/1.2,C85),0)</f>
        <v>15</v>
      </c>
      <c r="F85" s="25" t="n">
        <f aca="false">IF(E85=0,"POA",CEILING(E85*(1+$B$2),$E$2))</f>
        <v>25</v>
      </c>
      <c r="G85" s="25" t="n">
        <f aca="false">IF(ISNUMBER(F85),F85*H85,0)</f>
        <v>0</v>
      </c>
      <c r="H85" s="7" t="n">
        <v>0</v>
      </c>
      <c r="J85" s="3"/>
    </row>
    <row r="86" customFormat="false" ht="15" hidden="false" customHeight="false" outlineLevel="0" collapsed="false">
      <c r="A86" s="24" t="s">
        <v>251</v>
      </c>
      <c r="B86" s="6" t="s">
        <v>262</v>
      </c>
      <c r="C86" s="17" t="n">
        <v>14</v>
      </c>
      <c r="D86" s="6" t="s">
        <v>181</v>
      </c>
      <c r="E86" s="25" t="n">
        <f aca="false">IF(ISNUMBER(C86),IF(D86="inc VAT",C86/1.2,C86),0)</f>
        <v>11.6666666666667</v>
      </c>
      <c r="F86" s="25" t="n">
        <f aca="false">IF(E86=0,"POA",CEILING(E86*(1+$B$2),$E$2))</f>
        <v>20</v>
      </c>
      <c r="G86" s="25" t="n">
        <f aca="false">IF(ISNUMBER(F86),F86*H86,0)</f>
        <v>0</v>
      </c>
      <c r="H86" s="7" t="n">
        <v>0</v>
      </c>
      <c r="J86" s="3"/>
    </row>
    <row r="87" customFormat="false" ht="15" hidden="false" customHeight="false" outlineLevel="0" collapsed="false">
      <c r="A87" s="24" t="s">
        <v>251</v>
      </c>
      <c r="B87" s="6" t="s">
        <v>263</v>
      </c>
      <c r="C87" s="17" t="n">
        <v>48</v>
      </c>
      <c r="D87" s="6" t="s">
        <v>181</v>
      </c>
      <c r="E87" s="25" t="n">
        <f aca="false">IF(ISNUMBER(C87),IF(D87="inc VAT",C87/1.2,C87),0)</f>
        <v>40</v>
      </c>
      <c r="F87" s="25" t="n">
        <f aca="false">IF(E87=0,"POA",CEILING(E87*(1+$B$2),$E$2))</f>
        <v>60</v>
      </c>
      <c r="G87" s="25" t="n">
        <f aca="false">IF(ISNUMBER(F87),F87*H87,0)</f>
        <v>0</v>
      </c>
      <c r="H87" s="7" t="n">
        <v>0</v>
      </c>
      <c r="J87" s="3"/>
    </row>
    <row r="88" customFormat="false" ht="15" hidden="false" customHeight="false" outlineLevel="0" collapsed="false">
      <c r="A88" s="24" t="s">
        <v>251</v>
      </c>
      <c r="B88" s="6" t="s">
        <v>264</v>
      </c>
      <c r="C88" s="17" t="s">
        <v>223</v>
      </c>
      <c r="D88" s="6" t="s">
        <v>181</v>
      </c>
      <c r="E88" s="25" t="n">
        <f aca="false">IF(ISNUMBER(C88),IF(D88="inc VAT",C88/1.2,C88),0)</f>
        <v>0</v>
      </c>
      <c r="F88" s="25" t="str">
        <f aca="false">IF(E88=0,"POA",CEILING(E88*(1+$B$2),$E$2))</f>
        <v>POA</v>
      </c>
      <c r="G88" s="25" t="n">
        <f aca="false">IF(ISNUMBER(F88),F88*H88,0)</f>
        <v>0</v>
      </c>
      <c r="H88" s="7" t="n">
        <v>0</v>
      </c>
      <c r="J88" s="3"/>
    </row>
    <row r="89" customFormat="false" ht="15" hidden="false" customHeight="false" outlineLevel="0" collapsed="false">
      <c r="A89" s="14" t="s">
        <v>265</v>
      </c>
      <c r="B89" s="23"/>
      <c r="C89" s="23"/>
      <c r="D89" s="23"/>
      <c r="E89" s="23"/>
      <c r="F89" s="23"/>
      <c r="G89" s="23"/>
      <c r="H89" s="23"/>
      <c r="I89" s="23"/>
      <c r="J89" s="23"/>
    </row>
    <row r="90" customFormat="false" ht="15" hidden="false" customHeight="false" outlineLevel="0" collapsed="false">
      <c r="A90" s="24" t="s">
        <v>265</v>
      </c>
      <c r="B90" s="6" t="s">
        <v>266</v>
      </c>
      <c r="C90" s="17" t="n">
        <v>80</v>
      </c>
      <c r="D90" s="6" t="s">
        <v>202</v>
      </c>
      <c r="E90" s="25" t="n">
        <f aca="false">IF(ISNUMBER(C90),IF(D90="inc VAT",C90/1.2,C90),0)</f>
        <v>80</v>
      </c>
      <c r="F90" s="25" t="n">
        <f aca="false">IF(E90=0,"POA",CEILING(E90*(1+$B$2),$E$2))</f>
        <v>120</v>
      </c>
      <c r="G90" s="25" t="n">
        <f aca="false">IF(ISNUMBER(F90),F90*H90,0)</f>
        <v>0</v>
      </c>
      <c r="H90" s="7" t="n">
        <v>0</v>
      </c>
      <c r="I90" s="26" t="n">
        <f aca="false">'Rate Card'!$B$32</f>
        <v>60</v>
      </c>
      <c r="J90" s="3" t="s">
        <v>267</v>
      </c>
    </row>
    <row r="91" customFormat="false" ht="15" hidden="false" customHeight="false" outlineLevel="0" collapsed="false">
      <c r="A91" s="24" t="s">
        <v>265</v>
      </c>
      <c r="B91" s="6" t="s">
        <v>268</v>
      </c>
      <c r="C91" s="17" t="n">
        <v>60</v>
      </c>
      <c r="D91" s="6" t="s">
        <v>202</v>
      </c>
      <c r="E91" s="25" t="n">
        <f aca="false">IF(ISNUMBER(C91),IF(D91="inc VAT",C91/1.2,C91),0)</f>
        <v>60</v>
      </c>
      <c r="F91" s="25" t="n">
        <f aca="false">IF(E91=0,"POA",CEILING(E91*(1+$B$2),$E$2))</f>
        <v>90</v>
      </c>
      <c r="G91" s="25" t="n">
        <f aca="false">IF(ISNUMBER(F91),F91*H91,0)</f>
        <v>0</v>
      </c>
      <c r="H91" s="7" t="n">
        <v>0</v>
      </c>
      <c r="J91" s="3"/>
    </row>
    <row r="92" customFormat="false" ht="15" hidden="false" customHeight="false" outlineLevel="0" collapsed="false">
      <c r="A92" s="24" t="s">
        <v>265</v>
      </c>
      <c r="B92" s="6" t="s">
        <v>269</v>
      </c>
      <c r="C92" s="17" t="n">
        <v>50</v>
      </c>
      <c r="D92" s="6" t="s">
        <v>202</v>
      </c>
      <c r="E92" s="25" t="n">
        <f aca="false">IF(ISNUMBER(C92),IF(D92="inc VAT",C92/1.2,C92),0)</f>
        <v>50</v>
      </c>
      <c r="F92" s="25" t="n">
        <f aca="false">IF(E92=0,"POA",CEILING(E92*(1+$B$2),$E$2))</f>
        <v>75</v>
      </c>
      <c r="G92" s="25" t="n">
        <f aca="false">IF(ISNUMBER(F92),F92*H92,0)</f>
        <v>0</v>
      </c>
      <c r="H92" s="7" t="n">
        <v>0</v>
      </c>
      <c r="J92" s="3"/>
    </row>
    <row r="93" customFormat="false" ht="15" hidden="false" customHeight="false" outlineLevel="0" collapsed="false">
      <c r="A93" s="24" t="s">
        <v>265</v>
      </c>
      <c r="B93" s="6" t="s">
        <v>270</v>
      </c>
      <c r="C93" s="17" t="n">
        <v>30</v>
      </c>
      <c r="D93" s="6" t="s">
        <v>202</v>
      </c>
      <c r="E93" s="25" t="n">
        <f aca="false">IF(ISNUMBER(C93),IF(D93="inc VAT",C93/1.2,C93),0)</f>
        <v>30</v>
      </c>
      <c r="F93" s="25" t="n">
        <f aca="false">IF(E93=0,"POA",CEILING(E93*(1+$B$2),$E$2))</f>
        <v>45</v>
      </c>
      <c r="G93" s="25" t="n">
        <f aca="false">IF(ISNUMBER(F93),F93*H93,0)</f>
        <v>0</v>
      </c>
      <c r="H93" s="7" t="n">
        <v>0</v>
      </c>
      <c r="J93" s="3"/>
    </row>
    <row r="94" customFormat="false" ht="15" hidden="false" customHeight="false" outlineLevel="0" collapsed="false">
      <c r="A94" s="24" t="s">
        <v>265</v>
      </c>
      <c r="B94" s="6" t="s">
        <v>271</v>
      </c>
      <c r="C94" s="17" t="n">
        <v>25</v>
      </c>
      <c r="D94" s="6" t="s">
        <v>202</v>
      </c>
      <c r="E94" s="25" t="n">
        <f aca="false">IF(ISNUMBER(C94),IF(D94="inc VAT",C94/1.2,C94),0)</f>
        <v>25</v>
      </c>
      <c r="F94" s="25" t="n">
        <f aca="false">IF(E94=0,"POA",CEILING(E94*(1+$B$2),$E$2))</f>
        <v>40</v>
      </c>
      <c r="G94" s="25" t="n">
        <f aca="false">IF(ISNUMBER(F94),F94*H94,0)</f>
        <v>0</v>
      </c>
      <c r="H94" s="7" t="n">
        <v>0</v>
      </c>
      <c r="J94" s="3"/>
    </row>
    <row r="95" customFormat="false" ht="15" hidden="false" customHeight="false" outlineLevel="0" collapsed="false">
      <c r="A95" s="24" t="s">
        <v>265</v>
      </c>
      <c r="B95" s="6" t="s">
        <v>272</v>
      </c>
      <c r="C95" s="17" t="n">
        <v>50</v>
      </c>
      <c r="D95" s="6" t="s">
        <v>202</v>
      </c>
      <c r="E95" s="25" t="n">
        <f aca="false">IF(ISNUMBER(C95),IF(D95="inc VAT",C95/1.2,C95),0)</f>
        <v>50</v>
      </c>
      <c r="F95" s="25" t="n">
        <f aca="false">IF(E95=0,"POA",CEILING(E95*(1+$B$2),$E$2))</f>
        <v>75</v>
      </c>
      <c r="G95" s="25" t="n">
        <f aca="false">IF(ISNUMBER(F95),F95*H95,0)</f>
        <v>0</v>
      </c>
      <c r="H95" s="7" t="n">
        <v>0</v>
      </c>
      <c r="J95" s="3"/>
    </row>
    <row r="96" customFormat="false" ht="15" hidden="false" customHeight="false" outlineLevel="0" collapsed="false">
      <c r="A96" s="24" t="s">
        <v>265</v>
      </c>
      <c r="B96" s="6" t="s">
        <v>273</v>
      </c>
      <c r="C96" s="17" t="n">
        <v>15</v>
      </c>
      <c r="D96" s="6" t="s">
        <v>202</v>
      </c>
      <c r="E96" s="25" t="n">
        <f aca="false">IF(ISNUMBER(C96),IF(D96="inc VAT",C96/1.2,C96),0)</f>
        <v>15</v>
      </c>
      <c r="F96" s="25" t="n">
        <f aca="false">IF(E96=0,"POA",CEILING(E96*(1+$B$2),$E$2))</f>
        <v>25</v>
      </c>
      <c r="G96" s="25" t="n">
        <f aca="false">IF(ISNUMBER(F96),F96*H96,0)</f>
        <v>0</v>
      </c>
      <c r="H96" s="7" t="n">
        <v>0</v>
      </c>
      <c r="J96" s="3"/>
    </row>
    <row r="97" customFormat="false" ht="15" hidden="false" customHeight="false" outlineLevel="0" collapsed="false">
      <c r="A97" s="24" t="s">
        <v>265</v>
      </c>
      <c r="B97" s="6" t="s">
        <v>274</v>
      </c>
      <c r="C97" s="17" t="n">
        <v>40</v>
      </c>
      <c r="D97" s="6" t="s">
        <v>202</v>
      </c>
      <c r="E97" s="25" t="n">
        <f aca="false">IF(ISNUMBER(C97),IF(D97="inc VAT",C97/1.2,C97),0)</f>
        <v>40</v>
      </c>
      <c r="F97" s="25" t="n">
        <f aca="false">IF(E97=0,"POA",CEILING(E97*(1+$B$2),$E$2))</f>
        <v>60</v>
      </c>
      <c r="G97" s="25" t="n">
        <f aca="false">IF(ISNUMBER(F97),F97*H97,0)</f>
        <v>0</v>
      </c>
      <c r="H97" s="7" t="n">
        <v>0</v>
      </c>
      <c r="J97" s="3"/>
    </row>
    <row r="98" customFormat="false" ht="15" hidden="false" customHeight="false" outlineLevel="0" collapsed="false">
      <c r="A98" s="24" t="s">
        <v>265</v>
      </c>
      <c r="B98" s="6" t="s">
        <v>275</v>
      </c>
      <c r="C98" s="17" t="n">
        <v>45</v>
      </c>
      <c r="D98" s="6" t="s">
        <v>202</v>
      </c>
      <c r="E98" s="25" t="n">
        <f aca="false">IF(ISNUMBER(C98),IF(D98="inc VAT",C98/1.2,C98),0)</f>
        <v>45</v>
      </c>
      <c r="F98" s="25" t="n">
        <f aca="false">IF(E98=0,"POA",CEILING(E98*(1+$B$2),$E$2))</f>
        <v>70</v>
      </c>
      <c r="G98" s="25" t="n">
        <f aca="false">IF(ISNUMBER(F98),F98*H98,0)</f>
        <v>0</v>
      </c>
      <c r="H98" s="7" t="n">
        <v>0</v>
      </c>
      <c r="J98" s="3"/>
    </row>
    <row r="99" customFormat="false" ht="15" hidden="false" customHeight="false" outlineLevel="0" collapsed="false">
      <c r="A99" s="24" t="s">
        <v>265</v>
      </c>
      <c r="B99" s="6" t="s">
        <v>276</v>
      </c>
      <c r="C99" s="17" t="n">
        <v>30</v>
      </c>
      <c r="D99" s="6" t="s">
        <v>202</v>
      </c>
      <c r="E99" s="25" t="n">
        <f aca="false">IF(ISNUMBER(C99),IF(D99="inc VAT",C99/1.2,C99),0)</f>
        <v>30</v>
      </c>
      <c r="F99" s="25" t="n">
        <f aca="false">IF(E99=0,"POA",CEILING(E99*(1+$B$2),$E$2))</f>
        <v>45</v>
      </c>
      <c r="G99" s="25" t="n">
        <f aca="false">IF(ISNUMBER(F99),F99*H99,0)</f>
        <v>0</v>
      </c>
      <c r="H99" s="7" t="n">
        <v>0</v>
      </c>
      <c r="J99" s="3"/>
    </row>
    <row r="100" customFormat="false" ht="15" hidden="false" customHeight="false" outlineLevel="0" collapsed="false">
      <c r="A100" s="24" t="s">
        <v>265</v>
      </c>
      <c r="B100" s="6" t="s">
        <v>277</v>
      </c>
      <c r="C100" s="17" t="n">
        <v>75</v>
      </c>
      <c r="D100" s="6" t="s">
        <v>202</v>
      </c>
      <c r="E100" s="25" t="n">
        <f aca="false">IF(ISNUMBER(C100),IF(D100="inc VAT",C100/1.2,C100),0)</f>
        <v>75</v>
      </c>
      <c r="F100" s="25" t="n">
        <f aca="false">IF(E100=0,"POA",CEILING(E100*(1+$B$2),$E$2))</f>
        <v>115</v>
      </c>
      <c r="G100" s="25" t="n">
        <f aca="false">IF(ISNUMBER(F100),F100*H100,0)</f>
        <v>0</v>
      </c>
      <c r="H100" s="7" t="n">
        <v>0</v>
      </c>
      <c r="J100" s="3"/>
    </row>
    <row r="101" customFormat="false" ht="15" hidden="false" customHeight="false" outlineLevel="0" collapsed="false">
      <c r="A101" s="24" t="s">
        <v>265</v>
      </c>
      <c r="B101" s="6" t="s">
        <v>278</v>
      </c>
      <c r="C101" s="17" t="n">
        <v>100</v>
      </c>
      <c r="D101" s="6" t="s">
        <v>202</v>
      </c>
      <c r="E101" s="25" t="n">
        <f aca="false">IF(ISNUMBER(C101),IF(D101="inc VAT",C101/1.2,C101),0)</f>
        <v>100</v>
      </c>
      <c r="F101" s="25" t="n">
        <f aca="false">IF(E101=0,"POA",CEILING(E101*(1+$B$2),$E$2))</f>
        <v>150</v>
      </c>
      <c r="G101" s="25" t="n">
        <f aca="false">IF(ISNUMBER(F101),F101*H101,0)</f>
        <v>0</v>
      </c>
      <c r="H101" s="7" t="n">
        <v>0</v>
      </c>
      <c r="J101" s="3"/>
    </row>
    <row r="102" customFormat="false" ht="15" hidden="false" customHeight="false" outlineLevel="0" collapsed="false">
      <c r="A102" s="24" t="s">
        <v>265</v>
      </c>
      <c r="B102" s="6" t="s">
        <v>279</v>
      </c>
      <c r="C102" s="17" t="n">
        <v>75</v>
      </c>
      <c r="D102" s="6" t="s">
        <v>202</v>
      </c>
      <c r="E102" s="25" t="n">
        <f aca="false">IF(ISNUMBER(C102),IF(D102="inc VAT",C102/1.2,C102),0)</f>
        <v>75</v>
      </c>
      <c r="F102" s="25" t="n">
        <f aca="false">IF(E102=0,"POA",CEILING(E102*(1+$B$2),$E$2))</f>
        <v>115</v>
      </c>
      <c r="G102" s="25" t="n">
        <f aca="false">IF(ISNUMBER(F102),F102*H102,0)</f>
        <v>0</v>
      </c>
      <c r="H102" s="7" t="n">
        <v>0</v>
      </c>
      <c r="J102" s="3"/>
    </row>
    <row r="103" customFormat="false" ht="15" hidden="false" customHeight="false" outlineLevel="0" collapsed="false">
      <c r="A103" s="24" t="s">
        <v>265</v>
      </c>
      <c r="B103" s="6" t="s">
        <v>280</v>
      </c>
      <c r="C103" s="17" t="n">
        <v>100</v>
      </c>
      <c r="D103" s="6" t="s">
        <v>202</v>
      </c>
      <c r="E103" s="25" t="n">
        <f aca="false">IF(ISNUMBER(C103),IF(D103="inc VAT",C103/1.2,C103),0)</f>
        <v>100</v>
      </c>
      <c r="F103" s="25" t="n">
        <f aca="false">IF(E103=0,"POA",CEILING(E103*(1+$B$2),$E$2))</f>
        <v>150</v>
      </c>
      <c r="G103" s="25" t="n">
        <f aca="false">IF(ISNUMBER(F103),F103*H103,0)</f>
        <v>0</v>
      </c>
      <c r="H103" s="7" t="n">
        <v>0</v>
      </c>
      <c r="J103" s="3"/>
    </row>
    <row r="104" customFormat="false" ht="15" hidden="false" customHeight="false" outlineLevel="0" collapsed="false">
      <c r="A104" s="24" t="s">
        <v>265</v>
      </c>
      <c r="B104" s="6" t="s">
        <v>281</v>
      </c>
      <c r="C104" s="17" t="n">
        <v>75</v>
      </c>
      <c r="D104" s="6" t="s">
        <v>202</v>
      </c>
      <c r="E104" s="25" t="n">
        <f aca="false">IF(ISNUMBER(C104),IF(D104="inc VAT",C104/1.2,C104),0)</f>
        <v>75</v>
      </c>
      <c r="F104" s="25" t="n">
        <f aca="false">IF(E104=0,"POA",CEILING(E104*(1+$B$2),$E$2))</f>
        <v>115</v>
      </c>
      <c r="G104" s="25" t="n">
        <f aca="false">IF(ISNUMBER(F104),F104*H104,0)</f>
        <v>0</v>
      </c>
      <c r="H104" s="7" t="n">
        <v>0</v>
      </c>
      <c r="J104" s="3"/>
    </row>
    <row r="105" customFormat="false" ht="15" hidden="false" customHeight="false" outlineLevel="0" collapsed="false">
      <c r="A105" s="24" t="s">
        <v>265</v>
      </c>
      <c r="B105" s="6" t="s">
        <v>282</v>
      </c>
      <c r="C105" s="17" t="n">
        <v>35</v>
      </c>
      <c r="D105" s="6" t="s">
        <v>202</v>
      </c>
      <c r="E105" s="25" t="n">
        <f aca="false">IF(ISNUMBER(C105),IF(D105="inc VAT",C105/1.2,C105),0)</f>
        <v>35</v>
      </c>
      <c r="F105" s="25" t="n">
        <f aca="false">IF(E105=0,"POA",CEILING(E105*(1+$B$2),$E$2))</f>
        <v>55</v>
      </c>
      <c r="G105" s="25" t="n">
        <f aca="false">IF(ISNUMBER(F105),F105*H105,0)</f>
        <v>0</v>
      </c>
      <c r="H105" s="7" t="n">
        <v>0</v>
      </c>
      <c r="I105" s="26" t="n">
        <f aca="false">'Rate Card'!$B$43</f>
        <v>150</v>
      </c>
      <c r="J105" s="3" t="s">
        <v>283</v>
      </c>
    </row>
    <row r="106" customFormat="false" ht="15" hidden="false" customHeight="false" outlineLevel="0" collapsed="false">
      <c r="A106" s="24" t="s">
        <v>265</v>
      </c>
      <c r="B106" s="6" t="s">
        <v>284</v>
      </c>
      <c r="C106" s="17" t="n">
        <v>160</v>
      </c>
      <c r="D106" s="6" t="s">
        <v>202</v>
      </c>
      <c r="E106" s="25" t="n">
        <f aca="false">IF(ISNUMBER(C106),IF(D106="inc VAT",C106/1.2,C106),0)</f>
        <v>160</v>
      </c>
      <c r="F106" s="25" t="n">
        <f aca="false">IF(E106=0,"POA",CEILING(E106*(1+$B$2),$E$2))</f>
        <v>240</v>
      </c>
      <c r="G106" s="25" t="n">
        <f aca="false">IF(ISNUMBER(F106),F106*H106,0)</f>
        <v>0</v>
      </c>
      <c r="H106" s="7" t="n">
        <v>0</v>
      </c>
      <c r="J106" s="3"/>
    </row>
    <row r="108" customFormat="false" ht="15" hidden="false" customHeight="false" outlineLevel="0" collapsed="false">
      <c r="A108" s="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3" min="12" style="0" width="40"/>
  </cols>
  <sheetData>
    <row r="1" customFormat="false" ht="17.3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3" t="s">
        <v>287</v>
      </c>
    </row>
    <row r="4" customFormat="false" ht="15" hidden="false" customHeight="false" outlineLevel="0" collapsed="false">
      <c r="A4" s="27" t="s">
        <v>288</v>
      </c>
      <c r="B4" s="27" t="s">
        <v>289</v>
      </c>
      <c r="C4" s="27" t="s">
        <v>290</v>
      </c>
      <c r="D4" s="27" t="s">
        <v>291</v>
      </c>
      <c r="E4" s="27" t="s">
        <v>292</v>
      </c>
      <c r="F4" s="27" t="s">
        <v>293</v>
      </c>
      <c r="G4" s="27" t="s">
        <v>294</v>
      </c>
      <c r="H4" s="27" t="s">
        <v>44</v>
      </c>
      <c r="I4" s="27" t="s">
        <v>72</v>
      </c>
      <c r="J4" s="27" t="s">
        <v>48</v>
      </c>
      <c r="K4" s="27" t="s">
        <v>295</v>
      </c>
      <c r="L4" s="27" t="s">
        <v>296</v>
      </c>
      <c r="M4" s="27" t="s">
        <v>297</v>
      </c>
    </row>
    <row r="5" customFormat="false" ht="52.2" hidden="false" customHeight="false" outlineLevel="0" collapsed="false">
      <c r="A5" s="28" t="s">
        <v>298</v>
      </c>
      <c r="B5" s="28" t="s">
        <v>299</v>
      </c>
      <c r="C5" s="28" t="s">
        <v>300</v>
      </c>
      <c r="D5" s="28" t="s">
        <v>301</v>
      </c>
      <c r="E5" s="28" t="s">
        <v>302</v>
      </c>
      <c r="F5" s="28" t="s">
        <v>303</v>
      </c>
      <c r="G5" s="28" t="s">
        <v>304</v>
      </c>
      <c r="H5" s="28" t="s">
        <v>304</v>
      </c>
      <c r="I5" s="28" t="s">
        <v>304</v>
      </c>
      <c r="J5" s="28" t="s">
        <v>304</v>
      </c>
      <c r="K5" s="28" t="s">
        <v>305</v>
      </c>
      <c r="L5" s="28" t="s">
        <v>306</v>
      </c>
      <c r="M5" s="28" t="s">
        <v>307</v>
      </c>
    </row>
    <row r="6" customFormat="false" ht="39.55" hidden="false" customHeight="false" outlineLevel="0" collapsed="false">
      <c r="A6" s="28" t="s">
        <v>308</v>
      </c>
      <c r="B6" s="28" t="s">
        <v>309</v>
      </c>
      <c r="C6" s="28" t="s">
        <v>310</v>
      </c>
      <c r="D6" s="28" t="s">
        <v>311</v>
      </c>
      <c r="E6" s="28" t="s">
        <v>312</v>
      </c>
      <c r="F6" s="28" t="s">
        <v>313</v>
      </c>
      <c r="G6" s="28" t="s">
        <v>314</v>
      </c>
      <c r="H6" s="28" t="s">
        <v>315</v>
      </c>
      <c r="I6" s="28" t="s">
        <v>304</v>
      </c>
      <c r="J6" s="28" t="s">
        <v>304</v>
      </c>
      <c r="K6" s="28" t="s">
        <v>316</v>
      </c>
      <c r="L6" s="28" t="s">
        <v>317</v>
      </c>
      <c r="M6" s="28" t="s">
        <v>318</v>
      </c>
    </row>
    <row r="7" customFormat="false" ht="39.55" hidden="false" customHeight="false" outlineLevel="0" collapsed="false">
      <c r="A7" s="28" t="s">
        <v>319</v>
      </c>
      <c r="B7" s="28" t="s">
        <v>320</v>
      </c>
      <c r="C7" s="28" t="s">
        <v>321</v>
      </c>
      <c r="D7" s="28" t="s">
        <v>322</v>
      </c>
      <c r="E7" s="28" t="s">
        <v>323</v>
      </c>
      <c r="F7" s="28" t="s">
        <v>323</v>
      </c>
      <c r="G7" s="28" t="s">
        <v>323</v>
      </c>
      <c r="H7" s="28" t="s">
        <v>324</v>
      </c>
      <c r="I7" s="28" t="s">
        <v>323</v>
      </c>
      <c r="J7" s="28" t="s">
        <v>323</v>
      </c>
      <c r="K7" s="28" t="s">
        <v>325</v>
      </c>
      <c r="L7" s="28" t="s">
        <v>326</v>
      </c>
      <c r="M7" s="28" t="s">
        <v>327</v>
      </c>
    </row>
    <row r="8" customFormat="false" ht="52.2" hidden="false" customHeight="false" outlineLevel="0" collapsed="false">
      <c r="A8" s="28" t="s">
        <v>328</v>
      </c>
      <c r="B8" s="28" t="s">
        <v>320</v>
      </c>
      <c r="C8" s="28" t="s">
        <v>329</v>
      </c>
      <c r="D8" s="28" t="s">
        <v>330</v>
      </c>
      <c r="E8" s="28" t="s">
        <v>323</v>
      </c>
      <c r="F8" s="28" t="s">
        <v>323</v>
      </c>
      <c r="G8" s="28" t="s">
        <v>331</v>
      </c>
      <c r="H8" s="28" t="s">
        <v>323</v>
      </c>
      <c r="I8" s="28" t="s">
        <v>323</v>
      </c>
      <c r="J8" s="28" t="s">
        <v>323</v>
      </c>
      <c r="K8" s="28" t="s">
        <v>332</v>
      </c>
      <c r="L8" s="28" t="s">
        <v>333</v>
      </c>
      <c r="M8" s="28" t="s">
        <v>334</v>
      </c>
    </row>
    <row r="9" customFormat="false" ht="39.55" hidden="false" customHeight="false" outlineLevel="0" collapsed="false">
      <c r="A9" s="28" t="s">
        <v>335</v>
      </c>
      <c r="B9" s="28" t="s">
        <v>320</v>
      </c>
      <c r="C9" s="28" t="s">
        <v>336</v>
      </c>
      <c r="D9" s="28" t="s">
        <v>337</v>
      </c>
      <c r="E9" s="28" t="s">
        <v>323</v>
      </c>
      <c r="F9" s="28" t="s">
        <v>323</v>
      </c>
      <c r="G9" s="28" t="s">
        <v>338</v>
      </c>
      <c r="H9" s="28" t="s">
        <v>323</v>
      </c>
      <c r="I9" s="28" t="s">
        <v>323</v>
      </c>
      <c r="J9" s="28" t="s">
        <v>323</v>
      </c>
      <c r="K9" s="28"/>
      <c r="L9" s="28" t="s">
        <v>339</v>
      </c>
      <c r="M9" s="28" t="s">
        <v>340</v>
      </c>
    </row>
    <row r="10" customFormat="false" ht="39.55" hidden="false" customHeight="false" outlineLevel="0" collapsed="false">
      <c r="A10" s="28" t="s">
        <v>341</v>
      </c>
      <c r="B10" s="28" t="s">
        <v>342</v>
      </c>
      <c r="C10" s="28" t="s">
        <v>343</v>
      </c>
      <c r="D10" s="28" t="s">
        <v>344</v>
      </c>
      <c r="E10" s="28" t="s">
        <v>323</v>
      </c>
      <c r="F10" s="28" t="s">
        <v>323</v>
      </c>
      <c r="G10" s="28" t="s">
        <v>345</v>
      </c>
      <c r="H10" s="28" t="s">
        <v>323</v>
      </c>
      <c r="I10" s="28" t="s">
        <v>323</v>
      </c>
      <c r="J10" s="28" t="s">
        <v>323</v>
      </c>
      <c r="K10" s="28"/>
      <c r="L10" s="28" t="s">
        <v>346</v>
      </c>
      <c r="M10" s="28" t="s">
        <v>347</v>
      </c>
    </row>
    <row r="11" customFormat="false" ht="39.55" hidden="false" customHeight="false" outlineLevel="0" collapsed="false">
      <c r="A11" s="28" t="s">
        <v>348</v>
      </c>
      <c r="B11" s="28" t="s">
        <v>349</v>
      </c>
      <c r="C11" s="28" t="s">
        <v>350</v>
      </c>
      <c r="D11" s="28" t="s">
        <v>351</v>
      </c>
      <c r="E11" s="28" t="s">
        <v>323</v>
      </c>
      <c r="F11" s="28" t="s">
        <v>323</v>
      </c>
      <c r="G11" s="28" t="s">
        <v>323</v>
      </c>
      <c r="H11" s="28" t="s">
        <v>352</v>
      </c>
      <c r="I11" s="28" t="s">
        <v>323</v>
      </c>
      <c r="J11" s="28" t="s">
        <v>323</v>
      </c>
      <c r="K11" s="28"/>
      <c r="L11" s="28" t="s">
        <v>353</v>
      </c>
      <c r="M11" s="28" t="s">
        <v>354</v>
      </c>
    </row>
    <row r="12" customFormat="false" ht="39.55" hidden="false" customHeight="false" outlineLevel="0" collapsed="false">
      <c r="A12" s="28" t="s">
        <v>355</v>
      </c>
      <c r="B12" s="28" t="s">
        <v>356</v>
      </c>
      <c r="C12" s="28" t="s">
        <v>350</v>
      </c>
      <c r="D12" s="28" t="s">
        <v>357</v>
      </c>
      <c r="E12" s="28" t="s">
        <v>323</v>
      </c>
      <c r="F12" s="28" t="s">
        <v>358</v>
      </c>
      <c r="G12" s="28" t="s">
        <v>323</v>
      </c>
      <c r="H12" s="28" t="s">
        <v>359</v>
      </c>
      <c r="I12" s="28" t="s">
        <v>323</v>
      </c>
      <c r="J12" s="28" t="s">
        <v>323</v>
      </c>
      <c r="K12" s="28"/>
      <c r="L12" s="28" t="s">
        <v>360</v>
      </c>
      <c r="M12" s="28" t="s">
        <v>361</v>
      </c>
    </row>
    <row r="13" customFormat="false" ht="39.55" hidden="false" customHeight="false" outlineLevel="0" collapsed="false">
      <c r="A13" s="28" t="s">
        <v>362</v>
      </c>
      <c r="B13" s="28" t="s">
        <v>363</v>
      </c>
      <c r="C13" s="28" t="s">
        <v>364</v>
      </c>
      <c r="D13" s="28" t="s">
        <v>365</v>
      </c>
      <c r="E13" s="28" t="s">
        <v>323</v>
      </c>
      <c r="F13" s="28" t="s">
        <v>323</v>
      </c>
      <c r="G13" s="28" t="s">
        <v>323</v>
      </c>
      <c r="H13" s="28" t="s">
        <v>323</v>
      </c>
      <c r="I13" s="28" t="s">
        <v>366</v>
      </c>
      <c r="J13" s="28" t="s">
        <v>367</v>
      </c>
      <c r="K13" s="28" t="s">
        <v>368</v>
      </c>
      <c r="L13" s="28" t="s">
        <v>369</v>
      </c>
      <c r="M13" s="28" t="s">
        <v>370</v>
      </c>
    </row>
    <row r="14" customFormat="false" ht="26.85" hidden="false" customHeight="false" outlineLevel="0" collapsed="false">
      <c r="A14" s="28" t="s">
        <v>371</v>
      </c>
      <c r="B14" s="28" t="s">
        <v>363</v>
      </c>
      <c r="C14" s="28" t="s">
        <v>372</v>
      </c>
      <c r="D14" s="28" t="s">
        <v>373</v>
      </c>
      <c r="E14" s="28" t="s">
        <v>374</v>
      </c>
      <c r="F14" s="28" t="s">
        <v>375</v>
      </c>
      <c r="G14" s="28" t="s">
        <v>376</v>
      </c>
      <c r="H14" s="28" t="s">
        <v>323</v>
      </c>
      <c r="I14" s="28" t="s">
        <v>377</v>
      </c>
      <c r="J14" s="28" t="s">
        <v>378</v>
      </c>
      <c r="K14" s="28" t="s">
        <v>379</v>
      </c>
      <c r="L14" s="28" t="s">
        <v>380</v>
      </c>
      <c r="M14" s="28" t="s">
        <v>381</v>
      </c>
    </row>
    <row r="15" customFormat="false" ht="26.85" hidden="false" customHeight="false" outlineLevel="0" collapsed="false">
      <c r="A15" s="28" t="s">
        <v>382</v>
      </c>
      <c r="B15" s="28" t="s">
        <v>363</v>
      </c>
      <c r="C15" s="28" t="s">
        <v>336</v>
      </c>
      <c r="D15" s="28" t="s">
        <v>383</v>
      </c>
      <c r="E15" s="28" t="s">
        <v>384</v>
      </c>
      <c r="F15" s="28" t="s">
        <v>385</v>
      </c>
      <c r="G15" s="28" t="s">
        <v>323</v>
      </c>
      <c r="H15" s="28" t="s">
        <v>323</v>
      </c>
      <c r="I15" s="28" t="s">
        <v>323</v>
      </c>
      <c r="J15" s="28" t="s">
        <v>323</v>
      </c>
      <c r="K15" s="28" t="s">
        <v>386</v>
      </c>
      <c r="L15" s="28"/>
      <c r="M15" s="28" t="s">
        <v>387</v>
      </c>
    </row>
    <row r="16" customFormat="false" ht="52.2" hidden="false" customHeight="false" outlineLevel="0" collapsed="false">
      <c r="A16" s="28" t="s">
        <v>388</v>
      </c>
      <c r="B16" s="28" t="s">
        <v>389</v>
      </c>
      <c r="C16" s="28" t="s">
        <v>390</v>
      </c>
      <c r="D16" s="28" t="s">
        <v>391</v>
      </c>
      <c r="E16" s="28" t="s">
        <v>323</v>
      </c>
      <c r="F16" s="28" t="s">
        <v>392</v>
      </c>
      <c r="G16" s="28" t="s">
        <v>393</v>
      </c>
      <c r="H16" s="28" t="s">
        <v>394</v>
      </c>
      <c r="I16" s="28" t="s">
        <v>395</v>
      </c>
      <c r="J16" s="28" t="s">
        <v>396</v>
      </c>
      <c r="K16" s="28" t="s">
        <v>397</v>
      </c>
      <c r="L16" s="28" t="s">
        <v>398</v>
      </c>
      <c r="M16" s="28" t="s">
        <v>399</v>
      </c>
    </row>
    <row r="17" customFormat="false" ht="26.85" hidden="false" customHeight="false" outlineLevel="0" collapsed="false">
      <c r="A17" s="28" t="s">
        <v>400</v>
      </c>
      <c r="B17" s="28" t="s">
        <v>401</v>
      </c>
      <c r="C17" s="28" t="s">
        <v>390</v>
      </c>
      <c r="D17" s="28" t="s">
        <v>391</v>
      </c>
      <c r="E17" s="28" t="s">
        <v>323</v>
      </c>
      <c r="F17" s="28" t="s">
        <v>402</v>
      </c>
      <c r="G17" s="28" t="s">
        <v>403</v>
      </c>
      <c r="H17" s="28" t="s">
        <v>323</v>
      </c>
      <c r="I17" s="28" t="s">
        <v>323</v>
      </c>
      <c r="J17" s="28" t="s">
        <v>323</v>
      </c>
      <c r="K17" s="28" t="s">
        <v>404</v>
      </c>
      <c r="L17" s="28" t="s">
        <v>405</v>
      </c>
      <c r="M17" s="28" t="s">
        <v>406</v>
      </c>
    </row>
    <row r="18" customFormat="false" ht="64.9" hidden="false" customHeight="false" outlineLevel="0" collapsed="false">
      <c r="A18" s="28" t="s">
        <v>407</v>
      </c>
      <c r="B18" s="28" t="s">
        <v>408</v>
      </c>
      <c r="C18" s="28" t="s">
        <v>409</v>
      </c>
      <c r="D18" s="28" t="s">
        <v>410</v>
      </c>
      <c r="E18" s="28" t="s">
        <v>323</v>
      </c>
      <c r="F18" s="28" t="s">
        <v>411</v>
      </c>
      <c r="G18" s="28" t="s">
        <v>323</v>
      </c>
      <c r="H18" s="28" t="s">
        <v>412</v>
      </c>
      <c r="I18" s="28" t="s">
        <v>413</v>
      </c>
      <c r="J18" s="28" t="s">
        <v>413</v>
      </c>
      <c r="K18" s="28" t="s">
        <v>414</v>
      </c>
      <c r="L18" s="28" t="s">
        <v>415</v>
      </c>
      <c r="M18" s="28" t="s">
        <v>416</v>
      </c>
    </row>
    <row r="19" customFormat="false" ht="64.9" hidden="false" customHeight="false" outlineLevel="0" collapsed="false">
      <c r="A19" s="28" t="s">
        <v>417</v>
      </c>
      <c r="B19" s="28" t="s">
        <v>418</v>
      </c>
      <c r="C19" s="28" t="s">
        <v>419</v>
      </c>
      <c r="D19" s="28" t="s">
        <v>420</v>
      </c>
      <c r="E19" s="28" t="s">
        <v>323</v>
      </c>
      <c r="F19" s="28" t="s">
        <v>421</v>
      </c>
      <c r="G19" s="28" t="s">
        <v>323</v>
      </c>
      <c r="H19" s="28" t="s">
        <v>422</v>
      </c>
      <c r="I19" s="28" t="s">
        <v>423</v>
      </c>
      <c r="J19" s="28" t="s">
        <v>424</v>
      </c>
      <c r="K19" s="28" t="s">
        <v>425</v>
      </c>
      <c r="L19" s="28" t="s">
        <v>426</v>
      </c>
      <c r="M19" s="28" t="s">
        <v>427</v>
      </c>
    </row>
    <row r="20" customFormat="false" ht="26.85" hidden="false" customHeight="false" outlineLevel="0" collapsed="false">
      <c r="A20" s="28" t="s">
        <v>428</v>
      </c>
      <c r="B20" s="28" t="s">
        <v>363</v>
      </c>
      <c r="C20" s="28" t="s">
        <v>429</v>
      </c>
      <c r="D20" s="28" t="s">
        <v>430</v>
      </c>
      <c r="E20" s="28" t="s">
        <v>431</v>
      </c>
      <c r="F20" s="28" t="s">
        <v>432</v>
      </c>
      <c r="G20" s="28" t="s">
        <v>433</v>
      </c>
      <c r="H20" s="28" t="s">
        <v>434</v>
      </c>
      <c r="I20" s="28" t="s">
        <v>434</v>
      </c>
      <c r="J20" s="28" t="s">
        <v>434</v>
      </c>
      <c r="K20" s="28"/>
      <c r="L20" s="28" t="s">
        <v>435</v>
      </c>
      <c r="M20" s="28" t="s">
        <v>436</v>
      </c>
    </row>
    <row r="21" customFormat="false" ht="26.85" hidden="false" customHeight="false" outlineLevel="0" collapsed="false">
      <c r="A21" s="28" t="s">
        <v>437</v>
      </c>
      <c r="B21" s="28" t="s">
        <v>438</v>
      </c>
      <c r="C21" s="28" t="s">
        <v>350</v>
      </c>
      <c r="D21" s="28" t="s">
        <v>439</v>
      </c>
      <c r="E21" s="28" t="s">
        <v>323</v>
      </c>
      <c r="F21" s="28" t="s">
        <v>323</v>
      </c>
      <c r="G21" s="28" t="s">
        <v>323</v>
      </c>
      <c r="H21" s="28" t="s">
        <v>440</v>
      </c>
      <c r="I21" s="28" t="s">
        <v>323</v>
      </c>
      <c r="J21" s="28" t="s">
        <v>323</v>
      </c>
      <c r="K21" s="28" t="s">
        <v>441</v>
      </c>
      <c r="L21" s="28" t="s">
        <v>442</v>
      </c>
      <c r="M21" s="28" t="s">
        <v>443</v>
      </c>
    </row>
    <row r="22" customFormat="false" ht="26.85" hidden="false" customHeight="false" outlineLevel="0" collapsed="false">
      <c r="A22" s="28" t="s">
        <v>444</v>
      </c>
      <c r="B22" s="28" t="s">
        <v>445</v>
      </c>
      <c r="C22" s="28" t="s">
        <v>446</v>
      </c>
      <c r="D22" s="28" t="s">
        <v>447</v>
      </c>
      <c r="E22" s="28" t="s">
        <v>448</v>
      </c>
      <c r="F22" s="28" t="s">
        <v>449</v>
      </c>
      <c r="G22" s="28" t="s">
        <v>450</v>
      </c>
      <c r="H22" s="28" t="s">
        <v>323</v>
      </c>
      <c r="I22" s="28" t="s">
        <v>323</v>
      </c>
      <c r="J22" s="28" t="s">
        <v>323</v>
      </c>
      <c r="K22" s="28" t="s">
        <v>451</v>
      </c>
      <c r="L22" s="28" t="s">
        <v>452</v>
      </c>
      <c r="M22" s="28" t="s">
        <v>453</v>
      </c>
    </row>
    <row r="23" customFormat="false" ht="39.55" hidden="false" customHeight="false" outlineLevel="0" collapsed="false">
      <c r="A23" s="28" t="s">
        <v>454</v>
      </c>
      <c r="B23" s="28" t="s">
        <v>445</v>
      </c>
      <c r="C23" s="28" t="s">
        <v>455</v>
      </c>
      <c r="D23" s="28" t="s">
        <v>456</v>
      </c>
      <c r="E23" s="28" t="s">
        <v>457</v>
      </c>
      <c r="F23" s="28" t="s">
        <v>323</v>
      </c>
      <c r="G23" s="28" t="s">
        <v>433</v>
      </c>
      <c r="H23" s="28" t="s">
        <v>323</v>
      </c>
      <c r="I23" s="28" t="s">
        <v>323</v>
      </c>
      <c r="J23" s="28" t="s">
        <v>323</v>
      </c>
      <c r="K23" s="28"/>
      <c r="L23" s="28" t="s">
        <v>458</v>
      </c>
      <c r="M23" s="28" t="s">
        <v>459</v>
      </c>
    </row>
    <row r="24" customFormat="false" ht="26.85" hidden="false" customHeight="false" outlineLevel="0" collapsed="false">
      <c r="A24" s="28" t="s">
        <v>460</v>
      </c>
      <c r="B24" s="28" t="s">
        <v>461</v>
      </c>
      <c r="C24" s="28" t="s">
        <v>336</v>
      </c>
      <c r="D24" s="28" t="s">
        <v>462</v>
      </c>
      <c r="E24" s="28" t="s">
        <v>323</v>
      </c>
      <c r="F24" s="28" t="s">
        <v>463</v>
      </c>
      <c r="G24" s="28" t="s">
        <v>323</v>
      </c>
      <c r="H24" s="28" t="s">
        <v>433</v>
      </c>
      <c r="I24" s="28" t="s">
        <v>323</v>
      </c>
      <c r="J24" s="28" t="s">
        <v>323</v>
      </c>
      <c r="K24" s="28"/>
      <c r="L24" s="28" t="s">
        <v>464</v>
      </c>
      <c r="M24" s="28" t="s">
        <v>465</v>
      </c>
    </row>
    <row r="25" customFormat="false" ht="26.85" hidden="false" customHeight="false" outlineLevel="0" collapsed="false">
      <c r="A25" s="28" t="s">
        <v>466</v>
      </c>
      <c r="B25" s="28" t="s">
        <v>461</v>
      </c>
      <c r="C25" s="28" t="s">
        <v>336</v>
      </c>
      <c r="D25" s="28" t="s">
        <v>467</v>
      </c>
      <c r="E25" s="28" t="s">
        <v>468</v>
      </c>
      <c r="F25" s="28" t="s">
        <v>469</v>
      </c>
      <c r="G25" s="28" t="s">
        <v>470</v>
      </c>
      <c r="H25" s="28" t="s">
        <v>471</v>
      </c>
      <c r="I25" s="28" t="s">
        <v>323</v>
      </c>
      <c r="J25" s="28" t="s">
        <v>323</v>
      </c>
      <c r="K25" s="28" t="s">
        <v>472</v>
      </c>
      <c r="L25" s="28" t="s">
        <v>473</v>
      </c>
      <c r="M25" s="28" t="s">
        <v>465</v>
      </c>
    </row>
    <row r="26" customFormat="false" ht="26.85" hidden="false" customHeight="false" outlineLevel="0" collapsed="false">
      <c r="A26" s="28" t="s">
        <v>474</v>
      </c>
      <c r="B26" s="28" t="s">
        <v>461</v>
      </c>
      <c r="C26" s="28" t="s">
        <v>336</v>
      </c>
      <c r="D26" s="28" t="s">
        <v>475</v>
      </c>
      <c r="E26" s="28" t="s">
        <v>323</v>
      </c>
      <c r="F26" s="28" t="s">
        <v>476</v>
      </c>
      <c r="G26" s="28" t="s">
        <v>323</v>
      </c>
      <c r="H26" s="28" t="s">
        <v>323</v>
      </c>
      <c r="I26" s="28" t="s">
        <v>323</v>
      </c>
      <c r="J26" s="28" t="s">
        <v>323</v>
      </c>
      <c r="K26" s="28"/>
      <c r="L26" s="28"/>
      <c r="M26" s="28" t="s">
        <v>465</v>
      </c>
    </row>
    <row r="27" customFormat="false" ht="39.55" hidden="false" customHeight="false" outlineLevel="0" collapsed="false">
      <c r="A27" s="28" t="s">
        <v>477</v>
      </c>
      <c r="B27" s="28" t="s">
        <v>461</v>
      </c>
      <c r="C27" s="28" t="s">
        <v>336</v>
      </c>
      <c r="D27" s="28" t="s">
        <v>478</v>
      </c>
      <c r="E27" s="28" t="s">
        <v>323</v>
      </c>
      <c r="F27" s="28" t="s">
        <v>479</v>
      </c>
      <c r="G27" s="28" t="s">
        <v>323</v>
      </c>
      <c r="H27" s="28" t="s">
        <v>323</v>
      </c>
      <c r="I27" s="28" t="s">
        <v>323</v>
      </c>
      <c r="J27" s="28" t="s">
        <v>323</v>
      </c>
      <c r="K27" s="28"/>
      <c r="L27" s="28" t="s">
        <v>480</v>
      </c>
      <c r="M27" s="28" t="s">
        <v>465</v>
      </c>
    </row>
    <row r="28" customFormat="false" ht="26.85" hidden="false" customHeight="false" outlineLevel="0" collapsed="false">
      <c r="A28" s="28" t="s">
        <v>481</v>
      </c>
      <c r="B28" s="28" t="s">
        <v>445</v>
      </c>
      <c r="C28" s="28" t="s">
        <v>482</v>
      </c>
      <c r="D28" s="28" t="s">
        <v>483</v>
      </c>
      <c r="E28" s="28" t="s">
        <v>323</v>
      </c>
      <c r="F28" s="28" t="s">
        <v>304</v>
      </c>
      <c r="G28" s="28" t="s">
        <v>323</v>
      </c>
      <c r="H28" s="28" t="s">
        <v>323</v>
      </c>
      <c r="I28" s="28" t="s">
        <v>323</v>
      </c>
      <c r="J28" s="28" t="s">
        <v>323</v>
      </c>
      <c r="K28" s="28"/>
      <c r="L28" s="28" t="s">
        <v>484</v>
      </c>
      <c r="M28" s="28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3" t="s">
        <v>487</v>
      </c>
    </row>
    <row r="4" customFormat="false" ht="26.85" hidden="false" customHeight="false" outlineLevel="0" collapsed="false">
      <c r="A4" s="27" t="s">
        <v>39</v>
      </c>
      <c r="B4" s="27" t="s">
        <v>488</v>
      </c>
      <c r="C4" s="27" t="s">
        <v>489</v>
      </c>
      <c r="D4" s="27" t="s">
        <v>490</v>
      </c>
      <c r="E4" s="27" t="s">
        <v>491</v>
      </c>
      <c r="F4" s="27" t="s">
        <v>492</v>
      </c>
      <c r="G4" s="27" t="s">
        <v>493</v>
      </c>
      <c r="H4" s="27" t="s">
        <v>494</v>
      </c>
      <c r="I4" s="27" t="s">
        <v>495</v>
      </c>
    </row>
    <row r="5" customFormat="false" ht="15" hidden="false" customHeight="false" outlineLevel="0" collapsed="false">
      <c r="A5" s="6" t="s">
        <v>496</v>
      </c>
      <c r="B5" s="6" t="s">
        <v>103</v>
      </c>
      <c r="C5" s="29" t="n">
        <v>136</v>
      </c>
      <c r="D5" s="29" t="n">
        <v>199</v>
      </c>
      <c r="E5" s="29" t="n">
        <v>350</v>
      </c>
      <c r="F5" s="30" t="n">
        <f aca="false">'Rate Card'!$B$25</f>
        <v>200</v>
      </c>
      <c r="G5" s="6" t="str">
        <f aca="false">IF(F5&lt;C5,"Below market",IF(F5&gt;E5,"Above market",IF(F5&lt;D5,"Low end of range","High end of range")))</f>
        <v>High end of range</v>
      </c>
      <c r="H5" s="31" t="n">
        <f aca="false">IF(D5=0,0,F5/D5-1)</f>
        <v>0.00502512562814061</v>
      </c>
      <c r="I5" s="28" t="s">
        <v>497</v>
      </c>
    </row>
    <row r="6" customFormat="false" ht="15" hidden="false" customHeight="false" outlineLevel="0" collapsed="false">
      <c r="A6" s="6" t="s">
        <v>498</v>
      </c>
      <c r="B6" s="6" t="s">
        <v>103</v>
      </c>
      <c r="C6" s="29" t="n">
        <v>200</v>
      </c>
      <c r="D6" s="29" t="n">
        <v>249</v>
      </c>
      <c r="E6" s="29" t="n">
        <v>400</v>
      </c>
      <c r="F6" s="30" t="n">
        <f aca="false">'Rate Card'!$B$25+'Rate Card'!$B$26</f>
        <v>275</v>
      </c>
      <c r="G6" s="6" t="str">
        <f aca="false">IF(F6&lt;C6,"Below market",IF(F6&gt;E6,"Above market",IF(F6&lt;D6,"Low end of range","High end of range")))</f>
        <v>High end of range</v>
      </c>
      <c r="H6" s="31" t="n">
        <f aca="false">IF(D6=0,0,F6/D6-1)</f>
        <v>0.104417670682731</v>
      </c>
      <c r="I6" s="28" t="s">
        <v>499</v>
      </c>
    </row>
    <row r="7" customFormat="false" ht="26.85" hidden="false" customHeight="false" outlineLevel="0" collapsed="false">
      <c r="A7" s="6" t="s">
        <v>500</v>
      </c>
      <c r="B7" s="6" t="s">
        <v>106</v>
      </c>
      <c r="C7" s="29" t="n">
        <v>750</v>
      </c>
      <c r="D7" s="29" t="n">
        <v>1100</v>
      </c>
      <c r="E7" s="29" t="n">
        <v>2000</v>
      </c>
      <c r="F7" s="30" t="n">
        <f aca="false">'Rate Card'!$C$60+'Rate Card'!$B$24</f>
        <v>1100</v>
      </c>
      <c r="G7" s="6" t="str">
        <f aca="false">IF(F7&lt;C7,"Below market",IF(F7&gt;E7,"Above market",IF(F7&lt;D7,"Low end of range","High end of range")))</f>
        <v>High end of range</v>
      </c>
      <c r="H7" s="31" t="n">
        <f aca="false">IF(D7=0,0,F7/D7-1)</f>
        <v>0</v>
      </c>
      <c r="I7" s="28" t="s">
        <v>501</v>
      </c>
    </row>
    <row r="8" customFormat="false" ht="15" hidden="false" customHeight="false" outlineLevel="0" collapsed="false">
      <c r="A8" s="6" t="s">
        <v>502</v>
      </c>
      <c r="B8" s="6" t="s">
        <v>106</v>
      </c>
      <c r="C8" s="29" t="n">
        <v>500</v>
      </c>
      <c r="D8" s="29" t="n">
        <v>850</v>
      </c>
      <c r="E8" s="29" t="n">
        <v>1500</v>
      </c>
      <c r="F8" s="30" t="n">
        <f aca="false">'Rate Card'!$B$60+'Rate Card'!$B$24</f>
        <v>900</v>
      </c>
      <c r="G8" s="6" t="str">
        <f aca="false">IF(F8&lt;C8,"Below market",IF(F8&gt;E8,"Above market",IF(F8&lt;D8,"Low end of range","High end of range")))</f>
        <v>High end of range</v>
      </c>
      <c r="H8" s="31" t="n">
        <f aca="false">IF(D8=0,0,F8/D8-1)</f>
        <v>0.0588235294117647</v>
      </c>
      <c r="I8" s="28" t="s">
        <v>503</v>
      </c>
    </row>
    <row r="9" customFormat="false" ht="15" hidden="false" customHeight="false" outlineLevel="0" collapsed="false">
      <c r="A9" s="6" t="s">
        <v>504</v>
      </c>
      <c r="B9" s="6" t="s">
        <v>505</v>
      </c>
      <c r="C9" s="29" t="n">
        <v>75</v>
      </c>
      <c r="D9" s="29" t="n">
        <v>100</v>
      </c>
      <c r="E9" s="29" t="n">
        <v>300</v>
      </c>
      <c r="F9" s="30" t="n">
        <f aca="false">'Rate Card'!$B$12</f>
        <v>75</v>
      </c>
      <c r="G9" s="6" t="str">
        <f aca="false">IF(F9&lt;C9,"Below market",IF(F9&gt;E9,"Above market",IF(F9&lt;D9,"Low end of range","High end of range")))</f>
        <v>Low end of range</v>
      </c>
      <c r="H9" s="31" t="n">
        <f aca="false">IF(D9=0,0,F9/D9-1)</f>
        <v>-0.25</v>
      </c>
      <c r="I9" s="28" t="s">
        <v>506</v>
      </c>
    </row>
    <row r="10" customFormat="false" ht="15" hidden="false" customHeight="false" outlineLevel="0" collapsed="false">
      <c r="A10" s="6" t="s">
        <v>507</v>
      </c>
      <c r="B10" s="6" t="s">
        <v>508</v>
      </c>
      <c r="C10" s="29" t="n">
        <v>5</v>
      </c>
      <c r="D10" s="29" t="n">
        <v>10</v>
      </c>
      <c r="E10" s="29" t="n">
        <v>15</v>
      </c>
      <c r="F10" s="30" t="n">
        <f aca="false">'Rate Card'!$B$17</f>
        <v>5</v>
      </c>
      <c r="G10" s="6" t="str">
        <f aca="false">IF(F10&lt;C10,"Below market",IF(F10&gt;E10,"Above market",IF(F10&lt;D10,"Low end of range","High end of range")))</f>
        <v>Low end of range</v>
      </c>
      <c r="H10" s="31" t="n">
        <f aca="false">IF(D10=0,0,F10/D10-1)</f>
        <v>-0.5</v>
      </c>
      <c r="I10" s="28" t="s">
        <v>509</v>
      </c>
    </row>
    <row r="11" customFormat="false" ht="15" hidden="false" customHeight="false" outlineLevel="0" collapsed="false">
      <c r="A11" s="6" t="s">
        <v>510</v>
      </c>
      <c r="B11" s="6" t="s">
        <v>94</v>
      </c>
      <c r="C11" s="29" t="n">
        <v>29</v>
      </c>
      <c r="D11" s="29" t="n">
        <v>50</v>
      </c>
      <c r="E11" s="29" t="n">
        <v>100</v>
      </c>
      <c r="F11" s="30" t="n">
        <f aca="false">'Rate Card'!$B$18</f>
        <v>20</v>
      </c>
      <c r="G11" s="6" t="str">
        <f aca="false">IF(F11&lt;C11,"Below market",IF(F11&gt;E11,"Above market",IF(F11&lt;D11,"Low end of range","High end of range")))</f>
        <v>Below market</v>
      </c>
      <c r="H11" s="31" t="n">
        <f aca="false">IF(D11=0,0,F11/D11-1)</f>
        <v>-0.6</v>
      </c>
      <c r="I11" s="28" t="s">
        <v>511</v>
      </c>
    </row>
    <row r="12" customFormat="false" ht="15" hidden="false" customHeight="false" outlineLevel="0" collapsed="false">
      <c r="A12" s="6" t="s">
        <v>512</v>
      </c>
      <c r="B12" s="6" t="s">
        <v>106</v>
      </c>
      <c r="C12" s="29" t="n">
        <v>50</v>
      </c>
      <c r="D12" s="29" t="n">
        <v>60</v>
      </c>
      <c r="E12" s="29" t="n">
        <v>92</v>
      </c>
      <c r="F12" s="30" t="n">
        <f aca="false">'Rate Card'!$B$32</f>
        <v>60</v>
      </c>
      <c r="G12" s="6" t="str">
        <f aca="false">IF(F12&lt;C12,"Below market",IF(F12&gt;E12,"Above market",IF(F12&lt;D12,"Low end of range","High end of range")))</f>
        <v>High end of range</v>
      </c>
      <c r="H12" s="31" t="n">
        <f aca="false">IF(D12=0,0,F12/D12-1)</f>
        <v>0</v>
      </c>
      <c r="I12" s="28" t="s">
        <v>513</v>
      </c>
    </row>
    <row r="13" customFormat="false" ht="15" hidden="false" customHeight="false" outlineLevel="0" collapsed="false">
      <c r="A13" s="6" t="s">
        <v>514</v>
      </c>
      <c r="B13" s="6" t="s">
        <v>94</v>
      </c>
      <c r="C13" s="29" t="n">
        <v>35</v>
      </c>
      <c r="D13" s="29" t="n">
        <v>79</v>
      </c>
      <c r="E13" s="29" t="n">
        <v>149</v>
      </c>
      <c r="F13" s="30" t="n">
        <f aca="false">'Rate Card'!$B$5</f>
        <v>60</v>
      </c>
      <c r="G13" s="6" t="str">
        <f aca="false">IF(F13&lt;C13,"Below market",IF(F13&gt;E13,"Above market",IF(F13&lt;D13,"Low end of range","High end of range")))</f>
        <v>Low end of range</v>
      </c>
      <c r="H13" s="31" t="n">
        <f aca="false">IF(D13=0,0,F13/D13-1)</f>
        <v>-0.240506329113924</v>
      </c>
      <c r="I13" s="28" t="s">
        <v>515</v>
      </c>
    </row>
    <row r="14" customFormat="false" ht="15" hidden="false" customHeight="false" outlineLevel="0" collapsed="false">
      <c r="A14" s="6" t="s">
        <v>516</v>
      </c>
      <c r="B14" s="6" t="s">
        <v>94</v>
      </c>
      <c r="C14" s="29" t="n">
        <v>100</v>
      </c>
      <c r="D14" s="29" t="n">
        <v>250</v>
      </c>
      <c r="E14" s="29" t="n">
        <v>500</v>
      </c>
      <c r="F14" s="30" t="n">
        <f aca="false">'Rate Card'!$B$5+70*'Rate Card'!$B$7</f>
        <v>116</v>
      </c>
      <c r="G14" s="6" t="str">
        <f aca="false">IF(F14&lt;C14,"Below market",IF(F14&gt;E14,"Above market",IF(F14&lt;D14,"Low end of range","High end of range")))</f>
        <v>Low end of range</v>
      </c>
      <c r="H14" s="31" t="n">
        <f aca="false">IF(D14=0,0,F14/D14-1)</f>
        <v>-0.536</v>
      </c>
      <c r="I14" s="28" t="s">
        <v>517</v>
      </c>
    </row>
    <row r="15" customFormat="false" ht="15" hidden="false" customHeight="false" outlineLevel="0" collapsed="false">
      <c r="A15" s="6" t="s">
        <v>518</v>
      </c>
      <c r="B15" s="6" t="s">
        <v>143</v>
      </c>
      <c r="C15" s="29" t="n">
        <v>50</v>
      </c>
      <c r="D15" s="29" t="n">
        <v>100</v>
      </c>
      <c r="E15" s="29" t="n">
        <v>200</v>
      </c>
      <c r="F15" s="30" t="n">
        <f aca="false">'Rate Card'!$B$45</f>
        <v>90</v>
      </c>
      <c r="G15" s="6" t="str">
        <f aca="false">IF(F15&lt;C15,"Below market",IF(F15&gt;E15,"Above market",IF(F15&lt;D15,"Low end of range","High end of range")))</f>
        <v>Low end of range</v>
      </c>
      <c r="H15" s="31" t="n">
        <f aca="false">IF(D15=0,0,F15/D15-1)</f>
        <v>-0.1</v>
      </c>
      <c r="I15" s="28" t="s">
        <v>519</v>
      </c>
    </row>
    <row r="16" customFormat="false" ht="15" hidden="false" customHeight="false" outlineLevel="0" collapsed="false">
      <c r="A16" s="6" t="s">
        <v>80</v>
      </c>
      <c r="B16" s="6" t="s">
        <v>108</v>
      </c>
      <c r="C16" s="29" t="n">
        <v>350</v>
      </c>
      <c r="D16" s="29" t="n">
        <v>450</v>
      </c>
      <c r="E16" s="29" t="n">
        <v>630</v>
      </c>
      <c r="F16" s="30" t="n">
        <f aca="false">'Rate Card'!$B$41</f>
        <v>450</v>
      </c>
      <c r="G16" s="6" t="str">
        <f aca="false">IF(F16&lt;C16,"Below market",IF(F16&gt;E16,"Above market",IF(F16&lt;D16,"Low end of range","High end of range")))</f>
        <v>High end of range</v>
      </c>
      <c r="H16" s="31" t="n">
        <f aca="false">IF(D16=0,0,F16/D16-1)</f>
        <v>0</v>
      </c>
      <c r="I16" s="28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521</v>
      </c>
    </row>
    <row r="2" customFormat="false" ht="45" hidden="false" customHeight="true" outlineLevel="0" collapsed="false">
      <c r="A2" s="32" t="s">
        <v>522</v>
      </c>
      <c r="B2" s="32"/>
      <c r="C2" s="32"/>
      <c r="D2" s="32"/>
      <c r="E2" s="32"/>
      <c r="F2" s="32"/>
      <c r="G2" s="32"/>
      <c r="H2" s="32"/>
    </row>
    <row r="4" customFormat="false" ht="26.85" hidden="false" customHeight="false" outlineLevel="0" collapsed="false">
      <c r="A4" s="27" t="s">
        <v>523</v>
      </c>
      <c r="B4" s="27" t="s">
        <v>475</v>
      </c>
      <c r="C4" s="27" t="s">
        <v>524</v>
      </c>
      <c r="D4" s="27" t="s">
        <v>525</v>
      </c>
      <c r="E4" s="27" t="s">
        <v>526</v>
      </c>
      <c r="F4" s="27" t="s">
        <v>527</v>
      </c>
      <c r="G4" s="27" t="s">
        <v>528</v>
      </c>
      <c r="H4" s="27" t="s">
        <v>529</v>
      </c>
    </row>
    <row r="5" customFormat="false" ht="15" hidden="false" customHeight="false" outlineLevel="0" collapsed="false">
      <c r="A5" s="8" t="s">
        <v>530</v>
      </c>
      <c r="B5" s="33"/>
      <c r="C5" s="33"/>
      <c r="D5" s="33"/>
      <c r="E5" s="33"/>
      <c r="F5" s="33"/>
      <c r="G5" s="34" t="n">
        <f aca="false">'Quote Calculator'!C52</f>
        <v>5313.3</v>
      </c>
      <c r="H5" s="6" t="s">
        <v>531</v>
      </c>
    </row>
    <row r="6" customFormat="false" ht="15" hidden="false" customHeight="false" outlineLevel="0" collapsed="false">
      <c r="A6" s="6" t="s">
        <v>532</v>
      </c>
      <c r="B6" s="29" t="n">
        <v>480</v>
      </c>
      <c r="C6" s="33" t="n">
        <f aca="false">'Market Comparison'!D13*12</f>
        <v>948</v>
      </c>
      <c r="D6" s="33" t="n">
        <f aca="false">4*'Market Comparison'!D9</f>
        <v>400</v>
      </c>
      <c r="E6" s="33" t="n">
        <f aca="false">'Market Comparison'!D11*12</f>
        <v>600</v>
      </c>
      <c r="F6" s="33" t="n">
        <f aca="false">2*'Market Comparison'!D5</f>
        <v>398</v>
      </c>
      <c r="G6" s="34" t="n">
        <f aca="false">SUM(B6:F6)</f>
        <v>2826</v>
      </c>
      <c r="H6" s="6" t="s">
        <v>533</v>
      </c>
    </row>
    <row r="7" customFormat="false" ht="15" hidden="false" customHeight="false" outlineLevel="0" collapsed="false">
      <c r="A7" s="6" t="s">
        <v>534</v>
      </c>
      <c r="B7" s="29" t="n">
        <v>240</v>
      </c>
      <c r="C7" s="33" t="n">
        <f aca="false">'Market Comparison'!D13*12</f>
        <v>948</v>
      </c>
      <c r="D7" s="33" t="n">
        <f aca="false">4*'Market Comparison'!D9</f>
        <v>400</v>
      </c>
      <c r="E7" s="33" t="n">
        <f aca="false">'Market Comparison'!D11*12</f>
        <v>600</v>
      </c>
      <c r="F7" s="33" t="n">
        <f aca="false">2*'Market Comparison'!D5</f>
        <v>398</v>
      </c>
      <c r="G7" s="34" t="n">
        <f aca="false">SUM(B7:F7)</f>
        <v>2586</v>
      </c>
      <c r="H7" s="6" t="s">
        <v>535</v>
      </c>
    </row>
    <row r="8" customFormat="false" ht="15" hidden="false" customHeight="false" outlineLevel="0" collapsed="false">
      <c r="A8" s="6" t="s">
        <v>536</v>
      </c>
      <c r="B8" s="29" t="n">
        <v>0</v>
      </c>
      <c r="C8" s="33" t="n">
        <f aca="false">'Market Comparison'!D13*12</f>
        <v>948</v>
      </c>
      <c r="D8" s="33" t="n">
        <f aca="false">4*89</f>
        <v>356</v>
      </c>
      <c r="E8" s="33" t="n">
        <f aca="false">12*29</f>
        <v>348</v>
      </c>
      <c r="F8" s="33" t="n">
        <f aca="false">2*'Market Comparison'!D5</f>
        <v>398</v>
      </c>
      <c r="G8" s="34" t="n">
        <f aca="false">SUM(B8:F8)+'Market Comparison'!D7</f>
        <v>3150</v>
      </c>
      <c r="H8" s="6" t="s">
        <v>537</v>
      </c>
    </row>
    <row r="9" customFormat="false" ht="15" hidden="false" customHeight="false" outlineLevel="0" collapsed="false">
      <c r="A9" s="6" t="s">
        <v>538</v>
      </c>
      <c r="B9" s="29" t="n">
        <v>0</v>
      </c>
      <c r="C9" s="33" t="n">
        <f aca="false">'Market Comparison'!D13*12</f>
        <v>948</v>
      </c>
      <c r="D9" s="33" t="n">
        <f aca="false">4*'Market Comparison'!D9</f>
        <v>400</v>
      </c>
      <c r="E9" s="33" t="n">
        <f aca="false">MAX('Market Comparison'!D11,3*'Market Comparison'!D10)*12</f>
        <v>600</v>
      </c>
      <c r="F9" s="33" t="n">
        <f aca="false">2*'Market Comparison'!D5</f>
        <v>398</v>
      </c>
      <c r="G9" s="34" t="n">
        <f aca="false">SUM(B9:F9)+'Market Comparison'!D7</f>
        <v>3446</v>
      </c>
      <c r="H9" s="6" t="s">
        <v>539</v>
      </c>
    </row>
    <row r="11" customFormat="false" ht="15" hidden="false" customHeight="false" outlineLevel="0" collapsed="false">
      <c r="A11" s="8" t="s">
        <v>540</v>
      </c>
      <c r="G11" s="34" t="n">
        <f aca="false">G5-MIN(G6:G9)</f>
        <v>2727.3</v>
      </c>
    </row>
    <row r="12" customFormat="false" ht="15" hidden="false" customHeight="false" outlineLevel="0" collapsed="false">
      <c r="A12" s="3" t="s">
        <v>541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2026-10-25T22:52:30Z</dcterms:created>
  <dc:creator>openpyxl</dc:creator>
  <dc:description/>
  <dc:language>en-US</dc:language>
  <cp:lastModifiedBy/>
  <dcterms:modified xsi:type="dcterms:W3CDTF">2026-10-25T22:52:31Z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