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e Calculator" sheetId="1" state="visible" r:id="rId3"/>
    <sheet name="Rate Card" sheetId="2" state="visible" r:id="rId4"/>
    <sheet name="Competitor Research" sheetId="3" state="visible" r:id="rId5"/>
    <sheet name="Market Comparison" sheetId="4" state="visible" r:id="rId6"/>
    <sheet name="Same Client Te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<sst xmlns="http://schemas.openxmlformats.org/spreadsheetml/2006/main" count="452" uniqueCount="342">
  <si>
    <t xml:space="preserve">Client Fee Quote</t>
  </si>
  <si>
    <t xml:space="preserve">Fill in the yellow cells. Everything else calculates from the Rate Card tab. Example values shown – overwrite for each client.</t>
  </si>
  <si>
    <t xml:space="preserve">CLIENT PROFILE</t>
  </si>
  <si>
    <t xml:space="preserve">Client name</t>
  </si>
  <si>
    <t xml:space="preserve">Example Ltd</t>
  </si>
  <si>
    <t xml:space="preserve">Entity type</t>
  </si>
  <si>
    <t xml:space="preserve">Limited Company</t>
  </si>
  <si>
    <t xml:space="preserve">Turnover band</t>
  </si>
  <si>
    <t xml:space="preserve">£90k–£250k</t>
  </si>
  <si>
    <t xml:space="preserve">Complexity</t>
  </si>
  <si>
    <t xml:space="preserve">Standard</t>
  </si>
  <si>
    <t xml:space="preserve">Record quality</t>
  </si>
  <si>
    <t xml:space="preserve">Average</t>
  </si>
  <si>
    <t xml:space="preserve">Bookkeeping transactions per month</t>
  </si>
  <si>
    <t xml:space="preserve">Bank/card accounts</t>
  </si>
  <si>
    <t xml:space="preserve">Invoices processed per month</t>
  </si>
  <si>
    <t xml:space="preserve">Multi-currency? (Y/N)</t>
  </si>
  <si>
    <t xml:space="preserve">N</t>
  </si>
  <si>
    <t xml:space="preserve">VAT scheme (None/Standard/Flat Rate)</t>
  </si>
  <si>
    <t xml:space="preserve">Partial exemption? (Y/N)</t>
  </si>
  <si>
    <t xml:space="preserve">Employees on payroll</t>
  </si>
  <si>
    <t xml:space="preserve">Pay frequency (Monthly/Weekly)</t>
  </si>
  <si>
    <t xml:space="preserve">Monthly</t>
  </si>
  <si>
    <t xml:space="preserve">Auto-enrolment pension? (Y/N)</t>
  </si>
  <si>
    <t xml:space="preserve">Y</t>
  </si>
  <si>
    <t xml:space="preserve">P11Ds per year</t>
  </si>
  <si>
    <t xml:space="preserve">CIS contractor? (Y/N)</t>
  </si>
  <si>
    <t xml:space="preserve">Subcontractors per month</t>
  </si>
  <si>
    <t xml:space="preserve">Directors/individuals needing SA returns</t>
  </si>
  <si>
    <t xml:space="preserve">Rental properties (total across returns)</t>
  </si>
  <si>
    <t xml:space="preserve">CGT disposals</t>
  </si>
  <si>
    <t xml:space="preserve">Returns with foreign income</t>
  </si>
  <si>
    <t xml:space="preserve">MTD ITSA quarterly updates per year</t>
  </si>
  <si>
    <t xml:space="preserve">Dividends declared per year</t>
  </si>
  <si>
    <t xml:space="preserve">Management accounts packs per year</t>
  </si>
  <si>
    <t xml:space="preserve">Registered office service? (Y/N)</t>
  </si>
  <si>
    <t xml:space="preserve">Pay annually upfront? (Y/N)</t>
  </si>
  <si>
    <t xml:space="preserve">Multiplier (complexity × records)</t>
  </si>
  <si>
    <t xml:space="preserve">Is a company? (CT600, sec, dividends)</t>
  </si>
  <si>
    <t xml:space="preserve">Service</t>
  </si>
  <si>
    <t xml:space="preserve">Include? (Y/N)</t>
  </si>
  <si>
    <t xml:space="preserve">Annual fee (£)</t>
  </si>
  <si>
    <t xml:space="preserve">Monthly equivalent (£)</t>
  </si>
  <si>
    <t xml:space="preserve">Basis</t>
  </si>
  <si>
    <t xml:space="preserve">Bookkeeping</t>
  </si>
  <si>
    <t xml:space="preserve">Base + extra transactions, accounts &amp; invoices × multiplier</t>
  </si>
  <si>
    <t xml:space="preserve">VAT returns</t>
  </si>
  <si>
    <t xml:space="preserve">4 quarterly returns</t>
  </si>
  <si>
    <t xml:space="preserve">Payroll</t>
  </si>
  <si>
    <t xml:space="preserve">Per run (min charge) + pension + P11Ds</t>
  </si>
  <si>
    <t xml:space="preserve">CIS returns</t>
  </si>
  <si>
    <t xml:space="preserve">Monthly CIS300</t>
  </si>
  <si>
    <t xml:space="preserve">Year-end accounts</t>
  </si>
  <si>
    <t xml:space="preserve">Entity × turnover table × multiplier</t>
  </si>
  <si>
    <t xml:space="preserve">Corporation tax return (CT600)</t>
  </si>
  <si>
    <t xml:space="preserve">Annual</t>
  </si>
  <si>
    <t xml:space="preserve">Partnership return (SA800)</t>
  </si>
  <si>
    <t xml:space="preserve">Self assessment returns</t>
  </si>
  <si>
    <t xml:space="preserve">Per return + add-ons</t>
  </si>
  <si>
    <t xml:space="preserve">MTD for Income Tax quarterly updates</t>
  </si>
  <si>
    <t xml:space="preserve">Per update</t>
  </si>
  <si>
    <t xml:space="preserve">Confirmation statement</t>
  </si>
  <si>
    <t xml:space="preserve">Fee + Companies House disbursement</t>
  </si>
  <si>
    <t xml:space="preserve">Registered office</t>
  </si>
  <si>
    <t xml:space="preserve">Dividend paperwork</t>
  </si>
  <si>
    <t xml:space="preserve">Per dividend</t>
  </si>
  <si>
    <t xml:space="preserve">Management accounts</t>
  </si>
  <si>
    <t xml:space="preserve">Per pack</t>
  </si>
  <si>
    <t xml:space="preserve">Recurring fees subtotal</t>
  </si>
  <si>
    <t xml:space="preserve">Minimum fee top-up</t>
  </si>
  <si>
    <t xml:space="preserve">Less: annual upfront discount</t>
  </si>
  <si>
    <t xml:space="preserve">Recurring fee (ex VAT)</t>
  </si>
  <si>
    <t xml:space="preserve">VAT</t>
  </si>
  <si>
    <t xml:space="preserve">RECURRING FEE INC VAT</t>
  </si>
  <si>
    <t xml:space="preserve">One-off / project work</t>
  </si>
  <si>
    <t xml:space="preserve">Quantity</t>
  </si>
  <si>
    <t xml:space="preserve">Fee (£)</t>
  </si>
  <si>
    <t xml:space="preserve">Unit price (£)</t>
  </si>
  <si>
    <t xml:space="preserve">Company formation</t>
  </si>
  <si>
    <t xml:space="preserve">VAT registration</t>
  </si>
  <si>
    <t xml:space="preserve">Alphabet share restructure</t>
  </si>
  <si>
    <t xml:space="preserve">Share transfer / allotment</t>
  </si>
  <si>
    <t xml:space="preserve">Dormant company accounts</t>
  </si>
  <si>
    <t xml:space="preserve">Cash flow forecast / budget</t>
  </si>
  <si>
    <t xml:space="preserve">R&amp;D tax claim</t>
  </si>
  <si>
    <t xml:space="preserve">Advisory hours</t>
  </si>
  <si>
    <t xml:space="preserve">One-off fees (ex VAT)</t>
  </si>
  <si>
    <t xml:space="preserve">One-off fees inc VAT</t>
  </si>
  <si>
    <t xml:space="preserve">Note: alphabet shares carry settlements-legislation and dividend-waiver risk – the restructure fee includes a short tax note; don't do the paperwork without it.</t>
  </si>
  <si>
    <t xml:space="preserve">UniFinancial Solutions – Rate Card (edit blue figures to set your prices)</t>
  </si>
  <si>
    <t xml:space="preserve">All prices exclude VAT. Blue = your input. Figures are starting suggestions based on typical UK small-practice fees – review against your own market.</t>
  </si>
  <si>
    <t xml:space="preserve">Base fee (includes transactions below)</t>
  </si>
  <si>
    <t xml:space="preserve">per month</t>
  </si>
  <si>
    <t xml:space="preserve">Transactions included in base</t>
  </si>
  <si>
    <t xml:space="preserve">Each additional transaction</t>
  </si>
  <si>
    <t xml:space="preserve">per transaction</t>
  </si>
  <si>
    <t xml:space="preserve">Each bank/card account beyond the first</t>
  </si>
  <si>
    <t xml:space="preserve">Multi-currency handling</t>
  </si>
  <si>
    <t xml:space="preserve">Sales/purchase invoice processing</t>
  </si>
  <si>
    <t xml:space="preserve">per invoice</t>
  </si>
  <si>
    <t xml:space="preserve">VAT return – standard/cash accounting</t>
  </si>
  <si>
    <t xml:space="preserve">per return</t>
  </si>
  <si>
    <t xml:space="preserve">VAT return – flat rate scheme</t>
  </si>
  <si>
    <t xml:space="preserve">Partial exemption calculations</t>
  </si>
  <si>
    <t xml:space="preserve">per year</t>
  </si>
  <si>
    <t xml:space="preserve">VAT registration (one-off)</t>
  </si>
  <si>
    <t xml:space="preserve">one-off</t>
  </si>
  <si>
    <t xml:space="preserve">Per employee per pay run</t>
  </si>
  <si>
    <t xml:space="preserve">per employee/run</t>
  </si>
  <si>
    <t xml:space="preserve">Minimum charge per pay run</t>
  </si>
  <si>
    <t xml:space="preserve">per run</t>
  </si>
  <si>
    <t xml:space="preserve">Pension auto-enrolment administration</t>
  </si>
  <si>
    <t xml:space="preserve">P11D per employee (incl. P11D(b))</t>
  </si>
  <si>
    <t xml:space="preserve">per P11D</t>
  </si>
  <si>
    <t xml:space="preserve">CIS monthly return</t>
  </si>
  <si>
    <t xml:space="preserve">Per subcontractor verified/paid</t>
  </si>
  <si>
    <t xml:space="preserve">per sub/month</t>
  </si>
  <si>
    <t xml:space="preserve">Tax returns</t>
  </si>
  <si>
    <t xml:space="preserve">Self assessment return – simple</t>
  </si>
  <si>
    <t xml:space="preserve">Add per rental property</t>
  </si>
  <si>
    <t xml:space="preserve">per property</t>
  </si>
  <si>
    <t xml:space="preserve">Add per capital gains disposal</t>
  </si>
  <si>
    <t xml:space="preserve">per disposal</t>
  </si>
  <si>
    <t xml:space="preserve">Add foreign income</t>
  </si>
  <si>
    <t xml:space="preserve">Partnership tax return (SA800)</t>
  </si>
  <si>
    <t xml:space="preserve">MTD for Income Tax quarterly update</t>
  </si>
  <si>
    <t xml:space="preserve">per update</t>
  </si>
  <si>
    <t xml:space="preserve">Company secretarial</t>
  </si>
  <si>
    <t xml:space="preserve">Confirmation statement (our fee)</t>
  </si>
  <si>
    <t xml:space="preserve">Companies House filing fee (disbursement – check current fee)</t>
  </si>
  <si>
    <t xml:space="preserve">Registered office address</t>
  </si>
  <si>
    <t xml:space="preserve">Dividend vouchers &amp; board minutes</t>
  </si>
  <si>
    <t xml:space="preserve">per dividend</t>
  </si>
  <si>
    <t xml:space="preserve">Management information</t>
  </si>
  <si>
    <t xml:space="preserve">Management accounts pack</t>
  </si>
  <si>
    <t xml:space="preserve">per pack</t>
  </si>
  <si>
    <t xml:space="preserve">per forecast</t>
  </si>
  <si>
    <t xml:space="preserve">Alphabet share restructure (articles, resolutions, filings, tax note)</t>
  </si>
  <si>
    <t xml:space="preserve">R&amp;D tax claim (minimum)</t>
  </si>
  <si>
    <t xml:space="preserve">per claim</t>
  </si>
  <si>
    <t xml:space="preserve">Advisory / ad hoc work</t>
  </si>
  <si>
    <t xml:space="preserve">per hour</t>
  </si>
  <si>
    <t xml:space="preserve">Adjustments</t>
  </si>
  <si>
    <t xml:space="preserve">Minimum monthly fee (all recurring services)</t>
  </si>
  <si>
    <t xml:space="preserve">Discount for annual fee paid upfront</t>
  </si>
  <si>
    <t xml:space="preserve">of recurring fee</t>
  </si>
  <si>
    <t xml:space="preserve">VAT charged on your fees (0% if not registered)</t>
  </si>
  <si>
    <t xml:space="preserve">rate</t>
  </si>
  <si>
    <t xml:space="preserve">Complexity multiplier</t>
  </si>
  <si>
    <t xml:space="preserve">Record quality multiplier</t>
  </si>
  <si>
    <t xml:space="preserve">Simple</t>
  </si>
  <si>
    <t xml:space="preserve">Good</t>
  </si>
  <si>
    <t xml:space="preserve">Complex</t>
  </si>
  <si>
    <t xml:space="preserve">Poor</t>
  </si>
  <si>
    <t xml:space="preserve">Year-end accounts fee by entity and turnover</t>
  </si>
  <si>
    <t xml:space="preserve">Entity</t>
  </si>
  <si>
    <t xml:space="preserve">Under £90k</t>
  </si>
  <si>
    <t xml:space="preserve">£250k–£500k</t>
  </si>
  <si>
    <t xml:space="preserve">£500k–£1m</t>
  </si>
  <si>
    <t xml:space="preserve">Over £1m</t>
  </si>
  <si>
    <t xml:space="preserve">Sole Trader</t>
  </si>
  <si>
    <t xml:space="preserve">Partnership</t>
  </si>
  <si>
    <t xml:space="preserve">LLP</t>
  </si>
  <si>
    <t xml:space="preserve">Landlord (property only)</t>
  </si>
  <si>
    <t xml:space="preserve">Hertfordshire competitor pricing research (gathered 23 Oct 2026 from public web pages)</t>
  </si>
  <si>
    <t xml:space="preserve">Figures are advertised 'from' prices or published ranges, ex VAT unless stated. Not verified with the firms – treat as indicative and re-check before relying on them.</t>
  </si>
  <si>
    <t xml:space="preserve">Firm / source</t>
  </si>
  <si>
    <t xml:space="preserve">Area</t>
  </si>
  <si>
    <t xml:space="preserve">Type</t>
  </si>
  <si>
    <t xml:space="preserve">Pricing model</t>
  </si>
  <si>
    <t xml:space="preserve">Sole trader</t>
  </si>
  <si>
    <t xml:space="preserve">Limited company</t>
  </si>
  <si>
    <t xml:space="preserve">Self assessment</t>
  </si>
  <si>
    <t xml:space="preserve">Other</t>
  </si>
  <si>
    <t xml:space="preserve">What to learn</t>
  </si>
  <si>
    <t xml:space="preserve">Source</t>
  </si>
  <si>
    <t xml:space="preserve">A-Wise Accountants</t>
  </si>
  <si>
    <t xml:space="preserve">Hertford, Hatfield, Hemel, Watford, WGC, Hitchin</t>
  </si>
  <si>
    <t xml:space="preserve">Online/low-cost chain (town landing pages)</t>
  </si>
  <si>
    <t xml:space="preserve">Headline monthly package with 'was/now' discount</t>
  </si>
  <si>
    <t xml:space="preserve">From £10/m (shown discounted to £5)</t>
  </si>
  <si>
    <t xml:space="preserve">From £40/m (shown discounted to £20)</t>
  </si>
  <si>
    <t xml:space="preserve">Not published</t>
  </si>
  <si>
    <t xml:space="preserve">Same page cloned per town for local SEO</t>
  </si>
  <si>
    <t xml:space="preserve">Low anchor price wins clicks; the real fee comes from add-ons. Expect clients to quote '£20 a month' at you – show what's excluded.</t>
  </si>
  <si>
    <t xml:space="preserve">https://a-wise.co.uk/accountants-in-hertford/</t>
  </si>
  <si>
    <t xml:space="preserve">RSBC</t>
  </si>
  <si>
    <t xml:space="preserve">St Albans, Hitchin, WGC</t>
  </si>
  <si>
    <t xml:space="preserve">Online/low-cost chain</t>
  </si>
  <si>
    <t xml:space="preserve">Tiered monthly packages</t>
  </si>
  <si>
    <t xml:space="preserve">£35/m + VAT</t>
  </si>
  <si>
    <t xml:space="preserve">£40/m + VAT</t>
  </si>
  <si>
    <t xml:space="preserve">Included in packages (scope unclear)</t>
  </si>
  <si>
    <t xml:space="preserve">Package from £35/m</t>
  </si>
  <si>
    <t xml:space="preserve">'From £10 pm' headline</t>
  </si>
  <si>
    <t xml:space="preserve">Two simple price points by entity type – easy for a client to understand and buy online.</t>
  </si>
  <si>
    <t xml:space="preserve">https://www.rsbc.uk/accountants-in-st-albans</t>
  </si>
  <si>
    <t xml:space="preserve">Mazuma (via St Albans page)</t>
  </si>
  <si>
    <t xml:space="preserve">St Albans</t>
  </si>
  <si>
    <t xml:space="preserve">National online bookkeeping</t>
  </si>
  <si>
    <t xml:space="preserve">Fixed monthly bookkeeping</t>
  </si>
  <si>
    <t xml:space="preserve">—</t>
  </si>
  <si>
    <t xml:space="preserve">From £38/m + VAT</t>
  </si>
  <si>
    <t xml:space="preserve">Page ~2 years old</t>
  </si>
  <si>
    <t xml:space="preserve">Bookkeeping as a standalone subscription, not bundled.</t>
  </si>
  <si>
    <t xml:space="preserve">https://www.yourstalbansaccountants.co.uk/bookkeeping</t>
  </si>
  <si>
    <t xml:space="preserve">St Albans fixed-fee SA provider</t>
  </si>
  <si>
    <t xml:space="preserve">Specialist / directory</t>
  </si>
  <si>
    <t xml:space="preserve">Fixed fee per return, tiered by client type</t>
  </si>
  <si>
    <t xml:space="preserve">£199 simple; £249 landlord; £299 company director (+VAT)</t>
  </si>
  <si>
    <t xml:space="preserve">Another St Albans firm: £136 all-in</t>
  </si>
  <si>
    <t xml:space="preserve">Tiering SA by client type (simple / landlord / director) is a clean model – UFS uses add-ons instead.</t>
  </si>
  <si>
    <t xml:space="preserve">https://selfassessmenttaxreturn.accountants/self-assessment-tax-return-in-st-albans/</t>
  </si>
  <si>
    <t xml:space="preserve">DiGiFiLiNG</t>
  </si>
  <si>
    <t xml:space="preserve">Online</t>
  </si>
  <si>
    <t xml:space="preserve">Fixed fee</t>
  </si>
  <si>
    <t xml:space="preserve">From £199</t>
  </si>
  <si>
    <t xml:space="preserve">Confirms ~£199 as the local anchor for a simple return.</t>
  </si>
  <si>
    <t xml:space="preserve">https://digifiling.co.uk/areas-we-serve/small-business-tax-accountant-in-st-albans-uk/</t>
  </si>
  <si>
    <t xml:space="preserve">Stevenage SA specialist</t>
  </si>
  <si>
    <t xml:space="preserve">Stevenage</t>
  </si>
  <si>
    <t xml:space="preserve">Specialist</t>
  </si>
  <si>
    <t xml:space="preserve">Fixed fee, filed before 31 Jan</t>
  </si>
  <si>
    <t xml:space="preserve">From £199 + VAT</t>
  </si>
  <si>
    <t xml:space="preserve">Same £199 anchor.</t>
  </si>
  <si>
    <t xml:space="preserve">https://selfassessmenttaxreturn.accountants/self-assessment-tax-return-in-stevenage/</t>
  </si>
  <si>
    <t xml:space="preserve">WGC bookkeeping firm</t>
  </si>
  <si>
    <t xml:space="preserve">Welwyn Garden City</t>
  </si>
  <si>
    <t xml:space="preserve">Local bookkeeper</t>
  </si>
  <si>
    <t xml:space="preserve">Hours-capped monthly package</t>
  </si>
  <si>
    <t xml:space="preserve">£79/m + VAT for up to 4 hrs (software extra)</t>
  </si>
  <si>
    <t xml:space="preserve">Capping by hours protects margin on messy clients – an alternative to UFS's per-transaction model.</t>
  </si>
  <si>
    <t xml:space="preserve">https://bookkeepingservices.accountants/small-businesses/welwyn-garden-city/</t>
  </si>
  <si>
    <t xml:space="preserve">WGC/St Albans hourly bookkeeper</t>
  </si>
  <si>
    <t xml:space="preserve">WGC / St Albans</t>
  </si>
  <si>
    <t xml:space="preserve">Hourly then move to fixed</t>
  </si>
  <si>
    <t xml:space="preserve">Fixed Ltd package from £149/m</t>
  </si>
  <si>
    <t xml:space="preserve">£15/hr + VAT</t>
  </si>
  <si>
    <t xml:space="preserve">Start hourly to learn the client's volume, then fix the fee – good for onboarding unknown clients.</t>
  </si>
  <si>
    <t xml:space="preserve">https://bookkeepingservices.accountants/bookkeeping-services/st-albans/</t>
  </si>
  <si>
    <t xml:space="preserve">Hertfordshire listing/directory</t>
  </si>
  <si>
    <t xml:space="preserve">Hertfordshire</t>
  </si>
  <si>
    <t xml:space="preserve">Directory price list</t>
  </si>
  <si>
    <t xml:space="preserve">Itemised menu</t>
  </si>
  <si>
    <t xml:space="preserve">£89/qtr + VAT</t>
  </si>
  <si>
    <t xml:space="preserve">£29/m + VAT up to 3 staff; +£10/m each extra</t>
  </si>
  <si>
    <t xml:space="preserve">Confirmation statement £92 + VAT</t>
  </si>
  <si>
    <t xml:space="preserve">An itemised menu makes add-ons visible and easy to upsell.</t>
  </si>
  <si>
    <t xml:space="preserve">https://www.accountingfirms.co.uk/app/services/payroll-services-in-hertfordshire</t>
  </si>
  <si>
    <t xml:space="preserve">Herts Accountants (blog)</t>
  </si>
  <si>
    <t xml:space="preserve">Chartered firm</t>
  </si>
  <si>
    <t xml:space="preserve">Fixed annual fee bundle</t>
  </si>
  <si>
    <t xml:space="preserve">SA £150–£500/yr</t>
  </si>
  <si>
    <t xml:space="preserve">Accounts £500–£1,500/yr</t>
  </si>
  <si>
    <t xml:space="preserve">£150–£500</t>
  </si>
  <si>
    <t xml:space="preserve">£75–£200/qtr</t>
  </si>
  <si>
    <t xml:space="preserve">£5–£15 per employee/m</t>
  </si>
  <si>
    <t xml:space="preserve">No public monthly price – quote only</t>
  </si>
  <si>
    <t xml:space="preserve">Traditional firms hide price and sell on one agreed fixed fee covering everything.</t>
  </si>
  <si>
    <t xml:space="preserve">https://hertsaccountants.co.uk/blog/how-much-should-you-pay-accountant</t>
  </si>
  <si>
    <t xml:space="preserve">Blossom Accountants</t>
  </si>
  <si>
    <t xml:space="preserve">Estimate ranges</t>
  </si>
  <si>
    <t xml:space="preserve">~£30/m</t>
  </si>
  <si>
    <t xml:space="preserve">Up to £150+/m</t>
  </si>
  <si>
    <t xml:space="preserve">Says Herts sits mid-market</t>
  </si>
  <si>
    <t xml:space="preserve">https://blossomaccountants.co.uk/hertfordshire/</t>
  </si>
  <si>
    <t xml:space="preserve">VerifiedAccountants guide</t>
  </si>
  <si>
    <t xml:space="preserve">Hertfordshire / Hemel / WGC</t>
  </si>
  <si>
    <t xml:space="preserve">Fee guide</t>
  </si>
  <si>
    <t xml:space="preserve">Market ranges</t>
  </si>
  <si>
    <t xml:space="preserve">Accounts + CT £750–£2,000/yr</t>
  </si>
  <si>
    <t xml:space="preserve">£150–£400 (most £200–£350)</t>
  </si>
  <si>
    <t xml:space="preserve">£100–£500/m</t>
  </si>
  <si>
    <t xml:space="preserve">£100–£300/qtr</t>
  </si>
  <si>
    <t xml:space="preserve">£50–£100/m minimum + £5–£15 per employee</t>
  </si>
  <si>
    <t xml:space="preserve">Monthly packages £100–£300; £300–£600 with bookkeeping, VAT, payroll</t>
  </si>
  <si>
    <t xml:space="preserve">Most useful benchmark for full-service fees.</t>
  </si>
  <si>
    <t xml:space="preserve">https://verifiedaccountants.co.uk/guides/accountant-cost/hertfordshire</t>
  </si>
  <si>
    <t xml:space="preserve">Bizhub365 guide</t>
  </si>
  <si>
    <t xml:space="preserve">Watford</t>
  </si>
  <si>
    <t xml:space="preserve">£1,500–£3,500/yr</t>
  </si>
  <si>
    <t xml:space="preserve">£150–£300</t>
  </si>
  <si>
    <t xml:space="preserve">Hourly £50–£200 (Watford firm)</t>
  </si>
  <si>
    <t xml:space="preserve">Watford, nearer London, prices higher.</t>
  </si>
  <si>
    <t xml:space="preserve">https://www.bizhub365.com/find/accountant/watford/cost/</t>
  </si>
  <si>
    <t xml:space="preserve">UFS prices vs Hertfordshire market (ex VAT)</t>
  </si>
  <si>
    <t xml:space="preserve">Blue = market figures from Competitor Research tab. Green = live link to your Rate Card, so this updates when you change your prices.</t>
  </si>
  <si>
    <t xml:space="preserve">Unit</t>
  </si>
  <si>
    <t xml:space="preserve">Market low</t>
  </si>
  <si>
    <t xml:space="preserve">Market typical</t>
  </si>
  <si>
    <t xml:space="preserve">Market high</t>
  </si>
  <si>
    <t xml:space="preserve">UFS price</t>
  </si>
  <si>
    <t xml:space="preserve">Position</t>
  </si>
  <si>
    <t xml:space="preserve">UFS vs typical</t>
  </si>
  <si>
    <t xml:space="preserve">Evidence</t>
  </si>
  <si>
    <t xml:space="preserve">Self assessment – simple</t>
  </si>
  <si>
    <t xml:space="preserve">£136 all-in / £199 x3 local firms / guide £150–£400</t>
  </si>
  <si>
    <t xml:space="preserve">Self assessment – landlord (1 property)</t>
  </si>
  <si>
    <t xml:space="preserve">£249 St Albans; guide range</t>
  </si>
  <si>
    <t xml:space="preserve">Ltd accounts + CT600 (turnover £90k–£250k)</t>
  </si>
  <si>
    <t xml:space="preserve">Herts/Hemel guide £750–£2,000; Herts Accountants £500–£1,500 accounts only</t>
  </si>
  <si>
    <t xml:space="preserve">Ltd accounts + CT600 (under £90k)</t>
  </si>
  <si>
    <t xml:space="preserve">Herts Accountants accounts £500+; guide £750+</t>
  </si>
  <si>
    <t xml:space="preserve">VAT return</t>
  </si>
  <si>
    <t xml:space="preserve">per quarter</t>
  </si>
  <si>
    <t xml:space="preserve">£75–£200 Herts Accountants; £89 listing; guide £100–£300</t>
  </si>
  <si>
    <t xml:space="preserve">Payroll – per employee</t>
  </si>
  <si>
    <t xml:space="preserve">per employee/month</t>
  </si>
  <si>
    <t xml:space="preserve">£5–£15 guide and Herts Accountants; £10 extra staff on listing</t>
  </si>
  <si>
    <t xml:space="preserve">Payroll – minimum monthly</t>
  </si>
  <si>
    <t xml:space="preserve">£29 listing (up to 3 staff); guide £50–£100 minimum</t>
  </si>
  <si>
    <t xml:space="preserve">Confirmation statement (your fee)</t>
  </si>
  <si>
    <t xml:space="preserve">£50 + filing fee; £92 listing</t>
  </si>
  <si>
    <t xml:space="preserve">Bookkeeping – entry level</t>
  </si>
  <si>
    <t xml:space="preserve">£35 RSBC; £38 Mazuma; £79 (4 hrs) WGC; £149 Ltd fixed</t>
  </si>
  <si>
    <t xml:space="preserve">Bookkeeping – fuller service</t>
  </si>
  <si>
    <t xml:space="preserve">Guide £100–£500/m. UFS figure = base + 120 tx/month</t>
  </si>
  <si>
    <t xml:space="preserve">Ad hoc / advisory</t>
  </si>
  <si>
    <t xml:space="preserve">Watford £50–£200/hr</t>
  </si>
  <si>
    <t xml:space="preserve">Facebook group: £350–£450 accountants; £630 solicitor</t>
  </si>
  <si>
    <t xml:space="preserve">Same client, priced under each competitor's model</t>
  </si>
  <si>
    <t xml:space="preserve">Client: Ltd company, £90k–£250k turnover, VAT registered, 3 staff on monthly payroll, 2 director SA returns, 120 transactions/month. Where a firm doesn't publish a fee, the market typical from Market Comparison is used (marked 'assumed').</t>
  </si>
  <si>
    <t xml:space="preserve">Firm / model</t>
  </si>
  <si>
    <t xml:space="preserve">Monthly package</t>
  </si>
  <si>
    <t xml:space="preserve">Bookkeeping /yr</t>
  </si>
  <si>
    <t xml:space="preserve">VAT /yr</t>
  </si>
  <si>
    <t xml:space="preserve">Payroll /yr</t>
  </si>
  <si>
    <t xml:space="preserve">SA x2 /yr</t>
  </si>
  <si>
    <t xml:space="preserve">Annual total (ex VAT)</t>
  </si>
  <si>
    <t xml:space="preserve">Notes</t>
  </si>
  <si>
    <t xml:space="preserve">UFS (your Quote Calculator)</t>
  </si>
  <si>
    <t xml:space="preserve">Your full recurring quote for the example client</t>
  </si>
  <si>
    <t xml:space="preserve">RSBC-style low-cost package</t>
  </si>
  <si>
    <t xml:space="preserve">Package £40/m; add-ons assumed at market typical</t>
  </si>
  <si>
    <t xml:space="preserve">A-Wise headline (discounted)</t>
  </si>
  <si>
    <t xml:space="preserve">£20/m headline; add-ons assumed</t>
  </si>
  <si>
    <t xml:space="preserve">Itemised menu (Herts listing)</t>
  </si>
  <si>
    <t xml:space="preserve">£89 VAT and £29 payroll from listing; bookkeeping, SA and accounts+CT (£1,100) at market typical</t>
  </si>
  <si>
    <t xml:space="preserve">Traditional Herts firm (guide typical)</t>
  </si>
  <si>
    <t xml:space="preserve">All at guide typical, incl. accounts+CT £1,100</t>
  </si>
  <si>
    <t xml:space="preserve">UFS vs cheapest competitor model</t>
  </si>
  <si>
    <t xml:space="preserve">Note: UFS total includes management accounts, dividend paperwork, registered office and the records multiplier, which the others exclude. Compare like for like by switching those off in the Quote Calculator.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</si>
</sst>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\x"/>
    <numFmt numFmtId="166" formatCode="\£#,##0.00;&quot;(£&quot;#,##0.00\);\-"/>
    <numFmt numFmtId="167" formatCode="0"/>
    <numFmt numFmtId="168" formatCode="0.0%"/>
    <numFmt numFmtId="169" formatCode="\£#,##0;&quot;(£&quot;#,##0\);\-"/>
    <numFmt numFmtId="170" formatCode="0%;\-0%;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50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</row>
    <row r="3" customFormat="false" ht="15" hidden="false" customHeight="true" outlineLevel="0" collapsed="false">
      <c r="A3" s="3"/>
      <c r="B3" s="3"/>
      <c r="C3" s="3"/>
      <c r="D3" s="3"/>
      <c r="E3" s="3"/>
    </row>
    <row r="4" customFormat="false" ht="15" hidden="false" customHeight="true" outlineLevel="0" collapsed="false">
      <c r="A4" s="5" t="s">
        <v>2</v>
      </c>
      <c r="B4" s="6"/>
      <c r="C4" s="3"/>
      <c r="D4" s="3"/>
      <c r="E4" s="3"/>
    </row>
    <row r="5" customFormat="false" ht="15" hidden="false" customHeight="true" outlineLevel="0" collapsed="false">
      <c r="A5" s="7" t="s">
        <v>3</v>
      </c>
      <c r="B5" s="8" t="s">
        <v>4</v>
      </c>
      <c r="C5" s="3"/>
      <c r="D5" s="3"/>
      <c r="E5" s="3"/>
    </row>
    <row r="6" customFormat="false" ht="15" hidden="false" customHeight="true" outlineLevel="0" collapsed="false">
      <c r="A6" s="7" t="s">
        <v>5</v>
      </c>
      <c r="B6" s="8" t="s">
        <v>6</v>
      </c>
      <c r="C6" s="3"/>
      <c r="D6" s="3"/>
      <c r="E6" s="3"/>
    </row>
    <row r="7" customFormat="false" ht="15" hidden="false" customHeight="true" outlineLevel="0" collapsed="false">
      <c r="A7" s="7" t="s">
        <v>7</v>
      </c>
      <c r="B7" s="8" t="s">
        <v>8</v>
      </c>
      <c r="C7" s="3"/>
      <c r="D7" s="3"/>
      <c r="E7" s="3"/>
    </row>
    <row r="8" customFormat="false" ht="15" hidden="false" customHeight="true" outlineLevel="0" collapsed="false">
      <c r="A8" s="7" t="s">
        <v>9</v>
      </c>
      <c r="B8" s="8" t="s">
        <v>10</v>
      </c>
      <c r="C8" s="3"/>
      <c r="D8" s="3"/>
      <c r="E8" s="3"/>
    </row>
    <row r="9" customFormat="false" ht="15" hidden="false" customHeight="true" outlineLevel="0" collapsed="false">
      <c r="A9" s="7" t="s">
        <v>11</v>
      </c>
      <c r="B9" s="8" t="s">
        <v>12</v>
      </c>
      <c r="C9" s="3"/>
      <c r="D9" s="3"/>
      <c r="E9" s="3"/>
    </row>
    <row r="10" customFormat="false" ht="15" hidden="false" customHeight="true" outlineLevel="0" collapsed="false">
      <c r="A10" s="7" t="s">
        <v>13</v>
      </c>
      <c r="B10" s="8" t="n">
        <v>120</v>
      </c>
      <c r="C10" s="3"/>
      <c r="D10" s="3"/>
      <c r="E10" s="3"/>
    </row>
    <row r="11" customFormat="false" ht="15" hidden="false" customHeight="true" outlineLevel="0" collapsed="false">
      <c r="A11" s="7" t="s">
        <v>14</v>
      </c>
      <c r="B11" s="8" t="n">
        <v>2</v>
      </c>
      <c r="C11" s="3"/>
      <c r="D11" s="3"/>
      <c r="E11" s="3"/>
    </row>
    <row r="12" customFormat="false" ht="15" hidden="false" customHeight="true" outlineLevel="0" collapsed="false">
      <c r="A12" s="7" t="s">
        <v>15</v>
      </c>
      <c r="B12" s="8" t="n">
        <v>30</v>
      </c>
      <c r="C12" s="3"/>
      <c r="D12" s="3"/>
      <c r="E12" s="3"/>
    </row>
    <row r="13" customFormat="false" ht="15" hidden="false" customHeight="true" outlineLevel="0" collapsed="false">
      <c r="A13" s="7" t="s">
        <v>16</v>
      </c>
      <c r="B13" s="8" t="s">
        <v>17</v>
      </c>
      <c r="C13" s="3"/>
      <c r="D13" s="3"/>
      <c r="E13" s="3"/>
    </row>
    <row r="14" customFormat="false" ht="15" hidden="false" customHeight="true" outlineLevel="0" collapsed="false">
      <c r="A14" s="7" t="s">
        <v>18</v>
      </c>
      <c r="B14" s="8" t="s">
        <v>10</v>
      </c>
      <c r="C14" s="3"/>
      <c r="D14" s="3"/>
      <c r="E14" s="3"/>
    </row>
    <row r="15" customFormat="false" ht="15" hidden="false" customHeight="true" outlineLevel="0" collapsed="false">
      <c r="A15" s="7" t="s">
        <v>19</v>
      </c>
      <c r="B15" s="8" t="s">
        <v>17</v>
      </c>
      <c r="C15" s="3"/>
      <c r="D15" s="3"/>
      <c r="E15" s="3"/>
    </row>
    <row r="16" customFormat="false" ht="15" hidden="false" customHeight="true" outlineLevel="0" collapsed="false">
      <c r="A16" s="7" t="s">
        <v>20</v>
      </c>
      <c r="B16" s="8" t="n">
        <v>3</v>
      </c>
      <c r="C16" s="3"/>
      <c r="D16" s="3"/>
      <c r="E16" s="3"/>
    </row>
    <row r="17" customFormat="false" ht="15" hidden="false" customHeight="true" outlineLevel="0" collapsed="false">
      <c r="A17" s="7" t="s">
        <v>21</v>
      </c>
      <c r="B17" s="8" t="s">
        <v>22</v>
      </c>
      <c r="C17" s="3"/>
      <c r="D17" s="3"/>
      <c r="E17" s="3"/>
    </row>
    <row r="18" customFormat="false" ht="15" hidden="false" customHeight="true" outlineLevel="0" collapsed="false">
      <c r="A18" s="7" t="s">
        <v>23</v>
      </c>
      <c r="B18" s="8" t="s">
        <v>24</v>
      </c>
      <c r="C18" s="3"/>
      <c r="D18" s="3"/>
      <c r="E18" s="3"/>
    </row>
    <row r="19" customFormat="false" ht="15" hidden="false" customHeight="true" outlineLevel="0" collapsed="false">
      <c r="A19" s="7" t="s">
        <v>25</v>
      </c>
      <c r="B19" s="8" t="n">
        <v>1</v>
      </c>
      <c r="C19" s="3"/>
      <c r="D19" s="3"/>
      <c r="E19" s="3"/>
    </row>
    <row r="20" customFormat="false" ht="15" hidden="false" customHeight="true" outlineLevel="0" collapsed="false">
      <c r="A20" s="7" t="s">
        <v>26</v>
      </c>
      <c r="B20" s="8" t="s">
        <v>17</v>
      </c>
      <c r="C20" s="3"/>
      <c r="D20" s="3"/>
      <c r="E20" s="3"/>
    </row>
    <row r="21" customFormat="false" ht="15" hidden="false" customHeight="true" outlineLevel="0" collapsed="false">
      <c r="A21" s="7" t="s">
        <v>27</v>
      </c>
      <c r="B21" s="8" t="n">
        <v>0</v>
      </c>
      <c r="C21" s="3"/>
      <c r="D21" s="3"/>
      <c r="E21" s="3"/>
    </row>
    <row r="22" customFormat="false" ht="15" hidden="false" customHeight="true" outlineLevel="0" collapsed="false">
      <c r="A22" s="7" t="s">
        <v>28</v>
      </c>
      <c r="B22" s="8" t="n">
        <v>2</v>
      </c>
      <c r="C22" s="3"/>
      <c r="D22" s="3"/>
      <c r="E22" s="3"/>
    </row>
    <row r="23" customFormat="false" ht="15" hidden="false" customHeight="true" outlineLevel="0" collapsed="false">
      <c r="A23" s="7" t="s">
        <v>29</v>
      </c>
      <c r="B23" s="8" t="n">
        <v>1</v>
      </c>
      <c r="C23" s="3"/>
      <c r="D23" s="3"/>
      <c r="E23" s="3"/>
    </row>
    <row r="24" customFormat="false" ht="15" hidden="false" customHeight="true" outlineLevel="0" collapsed="false">
      <c r="A24" s="7" t="s">
        <v>30</v>
      </c>
      <c r="B24" s="8" t="n">
        <v>0</v>
      </c>
      <c r="C24" s="3"/>
      <c r="D24" s="3"/>
      <c r="E24" s="3"/>
    </row>
    <row r="25" customFormat="false" ht="15" hidden="false" customHeight="true" outlineLevel="0" collapsed="false">
      <c r="A25" s="7" t="s">
        <v>31</v>
      </c>
      <c r="B25" s="8" t="n">
        <v>0</v>
      </c>
      <c r="C25" s="3"/>
      <c r="D25" s="3"/>
      <c r="E25" s="3"/>
    </row>
    <row r="26" customFormat="false" ht="15" hidden="false" customHeight="true" outlineLevel="0" collapsed="false">
      <c r="A26" s="7" t="s">
        <v>32</v>
      </c>
      <c r="B26" s="8" t="n">
        <v>0</v>
      </c>
      <c r="C26" s="3"/>
      <c r="D26" s="3"/>
      <c r="E26" s="3"/>
    </row>
    <row r="27" customFormat="false" ht="15" hidden="false" customHeight="true" outlineLevel="0" collapsed="false">
      <c r="A27" s="7" t="s">
        <v>33</v>
      </c>
      <c r="B27" s="8" t="n">
        <v>4</v>
      </c>
      <c r="C27" s="3"/>
      <c r="D27" s="3"/>
      <c r="E27" s="3"/>
    </row>
    <row r="28" customFormat="false" ht="15" hidden="false" customHeight="true" outlineLevel="0" collapsed="false">
      <c r="A28" s="7" t="s">
        <v>34</v>
      </c>
      <c r="B28" s="8" t="n">
        <v>4</v>
      </c>
      <c r="C28" s="3"/>
      <c r="D28" s="3"/>
      <c r="E28" s="3"/>
    </row>
    <row r="29" customFormat="false" ht="15" hidden="false" customHeight="true" outlineLevel="0" collapsed="false">
      <c r="A29" s="7" t="s">
        <v>35</v>
      </c>
      <c r="B29" s="8" t="s">
        <v>24</v>
      </c>
      <c r="C29" s="3"/>
      <c r="D29" s="3"/>
      <c r="E29" s="3"/>
    </row>
    <row r="30" customFormat="false" ht="15" hidden="false" customHeight="true" outlineLevel="0" collapsed="false">
      <c r="A30" s="7" t="s">
        <v>36</v>
      </c>
      <c r="B30" s="8" t="s">
        <v>17</v>
      </c>
      <c r="C30" s="3"/>
      <c r="D30" s="3"/>
      <c r="E30" s="3"/>
    </row>
    <row r="31" customFormat="false" ht="15" hidden="false" customHeight="true" outlineLevel="0" collapsed="false">
      <c r="A31" s="3"/>
      <c r="B31" s="3"/>
      <c r="C31" s="3"/>
      <c r="D31" s="3"/>
      <c r="E31" s="3"/>
    </row>
    <row r="32" customFormat="false" ht="15" hidden="false" customHeight="true" outlineLevel="0" collapsed="false">
      <c r="A32" s="9" t="s">
        <v>37</v>
      </c>
      <c r="B32" s="10" t="n">
        <f aca="false">INDEX('Rate Card'!$B$52:$B$54,MATCH($B$8,'Rate Card'!$A$52:$A$54,0))*INDEX('Rate Card'!$E$52:$E$54,MATCH($B$9,'Rate Card'!$D$52:$D$54,0))</f>
        <v>1.15</v>
      </c>
      <c r="C32" s="3"/>
      <c r="D32" s="3"/>
      <c r="E32" s="3"/>
    </row>
    <row r="33" customFormat="false" ht="15" hidden="false" customHeight="true" outlineLevel="0" collapsed="false">
      <c r="A33" s="9" t="s">
        <v>38</v>
      </c>
      <c r="B33" s="3" t="str">
        <f aca="false">IF(OR($B$6="Limited Company",$B$6="LLP"),"Y","N")</f>
        <v>Y</v>
      </c>
      <c r="C33" s="3"/>
      <c r="D33" s="3"/>
      <c r="E33" s="3"/>
    </row>
    <row r="34" customFormat="false" ht="15" hidden="false" customHeight="true" outlineLevel="0" collapsed="false">
      <c r="A34" s="3"/>
      <c r="B34" s="3"/>
      <c r="C34" s="3"/>
      <c r="D34" s="3"/>
      <c r="E34" s="3"/>
    </row>
    <row r="35" customFormat="false" ht="15" hidden="false" customHeight="true" outlineLevel="0" collapsed="false">
      <c r="A35" s="5" t="s">
        <v>39</v>
      </c>
      <c r="B35" s="5" t="s">
        <v>40</v>
      </c>
      <c r="C35" s="5" t="s">
        <v>41</v>
      </c>
      <c r="D35" s="5" t="s">
        <v>42</v>
      </c>
      <c r="E35" s="5" t="s">
        <v>43</v>
      </c>
    </row>
    <row r="36" customFormat="false" ht="15" hidden="false" customHeight="true" outlineLevel="0" collapsed="false">
      <c r="A36" s="7" t="s">
        <v>44</v>
      </c>
      <c r="B36" s="8" t="s">
        <v>24</v>
      </c>
      <c r="C36" s="11" t="n">
        <f aca="false">IF(B36="Y",('Rate Card'!$B$5+MAX(0,$B$10-'Rate Card'!$B$6)*'Rate Card'!$B$7+MAX(0,$B$11-1)*'Rate Card'!$B$8+$B$12*'Rate Card'!$B$10+IF($B$13="Y",'Rate Card'!$B$9,0))*12*$B$32,0)</f>
        <v>1945.8</v>
      </c>
      <c r="D36" s="11" t="n">
        <f aca="false">C36/12</f>
        <v>162.15</v>
      </c>
      <c r="E36" s="12" t="s">
        <v>45</v>
      </c>
    </row>
    <row r="37" customFormat="false" ht="15" hidden="false" customHeight="true" outlineLevel="0" collapsed="false">
      <c r="A37" s="7" t="s">
        <v>46</v>
      </c>
      <c r="B37" s="8" t="str">
        <f aca="false">IF($B$14="None","N","Y")</f>
        <v>Y</v>
      </c>
      <c r="C37" s="11" t="n">
        <f aca="false">IF(B37="Y",4*IF($B$14="Flat Rate",'Rate Card'!$B$13,'Rate Card'!$B$12)+IF($B$15="Y",'Rate Card'!$B$14,0),0)</f>
        <v>300</v>
      </c>
      <c r="D37" s="11" t="n">
        <f aca="false">C37/12</f>
        <v>25</v>
      </c>
      <c r="E37" s="12" t="s">
        <v>47</v>
      </c>
    </row>
    <row r="38" customFormat="false" ht="15" hidden="false" customHeight="true" outlineLevel="0" collapsed="false">
      <c r="A38" s="7" t="s">
        <v>48</v>
      </c>
      <c r="B38" s="8" t="str">
        <f aca="false">IF($B$16&gt;0,"Y","N")</f>
        <v>Y</v>
      </c>
      <c r="C38" s="11" t="n">
        <f aca="false">IF(B38="Y",IF($B$17="Weekly",52,12)*MAX('Rate Card'!$B$18,$B$16*'Rate Card'!$B$17)+IF($B$18="Y",12*'Rate Card'!$B$19,0)+$B$19*'Rate Card'!$B$20,0)</f>
        <v>435</v>
      </c>
      <c r="D38" s="11" t="n">
        <f aca="false">C38/12</f>
        <v>36.25</v>
      </c>
      <c r="E38" s="12" t="s">
        <v>49</v>
      </c>
    </row>
    <row r="39" customFormat="false" ht="15" hidden="false" customHeight="true" outlineLevel="0" collapsed="false">
      <c r="A39" s="7" t="s">
        <v>50</v>
      </c>
      <c r="B39" s="8" t="str">
        <f aca="false">$B$20</f>
        <v>N</v>
      </c>
      <c r="C39" s="11" t="n">
        <f aca="false">IF(B39="Y",12*('Rate Card'!$B$21+$B$21*'Rate Card'!$B$22),0)</f>
        <v>0</v>
      </c>
      <c r="D39" s="11" t="n">
        <f aca="false">C39/12</f>
        <v>0</v>
      </c>
      <c r="E39" s="12" t="s">
        <v>51</v>
      </c>
    </row>
    <row r="40" customFormat="false" ht="15" hidden="false" customHeight="true" outlineLevel="0" collapsed="false">
      <c r="A40" s="7" t="s">
        <v>52</v>
      </c>
      <c r="B40" s="8" t="s">
        <v>24</v>
      </c>
      <c r="C40" s="11" t="n">
        <f aca="false">IF(B40="Y",INDEX('Rate Card'!$B$58:$F$62,MATCH($B$6,'Rate Card'!$A$58:$A$62,0),MATCH($B$7,'Rate Card'!$B$57:$F$57,0))*$B$32,0)</f>
        <v>977.5</v>
      </c>
      <c r="D40" s="11" t="n">
        <f aca="false">C40/12</f>
        <v>81.4583333333333</v>
      </c>
      <c r="E40" s="12" t="s">
        <v>53</v>
      </c>
    </row>
    <row r="41" customFormat="false" ht="15" hidden="false" customHeight="true" outlineLevel="0" collapsed="false">
      <c r="A41" s="7" t="s">
        <v>54</v>
      </c>
      <c r="B41" s="8" t="str">
        <f aca="false">IF($B$6="Limited Company","Y","N")</f>
        <v>Y</v>
      </c>
      <c r="C41" s="11" t="n">
        <f aca="false">IF(B41="Y",'Rate Card'!$B$24,0)</f>
        <v>250</v>
      </c>
      <c r="D41" s="11" t="n">
        <f aca="false">C41/12</f>
        <v>20.8333333333333</v>
      </c>
      <c r="E41" s="12" t="s">
        <v>55</v>
      </c>
    </row>
    <row r="42" customFormat="false" ht="15" hidden="false" customHeight="true" outlineLevel="0" collapsed="false">
      <c r="A42" s="7" t="s">
        <v>56</v>
      </c>
      <c r="B42" s="8" t="str">
        <f aca="false">IF(OR($B$6="Partnership",$B$6="LLP"),"Y","N")</f>
        <v>N</v>
      </c>
      <c r="C42" s="11" t="n">
        <f aca="false">IF(B42="Y",'Rate Card'!$B$29,0)</f>
        <v>0</v>
      </c>
      <c r="D42" s="11" t="n">
        <f aca="false">C42/12</f>
        <v>0</v>
      </c>
      <c r="E42" s="12" t="s">
        <v>55</v>
      </c>
    </row>
    <row r="43" customFormat="false" ht="15" hidden="false" customHeight="true" outlineLevel="0" collapsed="false">
      <c r="A43" s="7" t="s">
        <v>57</v>
      </c>
      <c r="B43" s="8" t="str">
        <f aca="false">IF($B$22&gt;0,"Y","N")</f>
        <v>Y</v>
      </c>
      <c r="C43" s="11" t="n">
        <f aca="false">IF(B43="Y",$B$22*'Rate Card'!$B$25+$B$23*'Rate Card'!$B$26+$B$24*'Rate Card'!$B$27+$B$25*'Rate Card'!$B$28,0)</f>
        <v>475</v>
      </c>
      <c r="D43" s="11" t="n">
        <f aca="false">C43/12</f>
        <v>39.5833333333333</v>
      </c>
      <c r="E43" s="12" t="s">
        <v>58</v>
      </c>
    </row>
    <row r="44" customFormat="false" ht="15" hidden="false" customHeight="true" outlineLevel="0" collapsed="false">
      <c r="A44" s="7" t="s">
        <v>59</v>
      </c>
      <c r="B44" s="8" t="str">
        <f aca="false">IF($B$26&gt;0,"Y","N")</f>
        <v>N</v>
      </c>
      <c r="C44" s="11" t="n">
        <f aca="false">IF(B44="Y",$B$26*'Rate Card'!$B$30,0)</f>
        <v>0</v>
      </c>
      <c r="D44" s="11" t="n">
        <f aca="false">C44/12</f>
        <v>0</v>
      </c>
      <c r="E44" s="12" t="s">
        <v>60</v>
      </c>
    </row>
    <row r="45" customFormat="false" ht="15" hidden="false" customHeight="true" outlineLevel="0" collapsed="false">
      <c r="A45" s="7" t="s">
        <v>61</v>
      </c>
      <c r="B45" s="8" t="str">
        <f aca="false">$B$33</f>
        <v>Y</v>
      </c>
      <c r="C45" s="11" t="n">
        <f aca="false">IF(B45="Y",'Rate Card'!$B$32+'Rate Card'!$B$33,0)</f>
        <v>110</v>
      </c>
      <c r="D45" s="11" t="n">
        <f aca="false">C45/12</f>
        <v>9.16666666666667</v>
      </c>
      <c r="E45" s="12" t="s">
        <v>62</v>
      </c>
    </row>
    <row r="46" customFormat="false" ht="15" hidden="false" customHeight="true" outlineLevel="0" collapsed="false">
      <c r="A46" s="7" t="s">
        <v>63</v>
      </c>
      <c r="B46" s="8" t="str">
        <f aca="false">$B$29</f>
        <v>Y</v>
      </c>
      <c r="C46" s="11" t="n">
        <f aca="false">IF(B46="Y",'Rate Card'!$B$34,0)</f>
        <v>120</v>
      </c>
      <c r="D46" s="11" t="n">
        <f aca="false">C46/12</f>
        <v>10</v>
      </c>
      <c r="E46" s="12" t="s">
        <v>55</v>
      </c>
    </row>
    <row r="47" customFormat="false" ht="15" hidden="false" customHeight="true" outlineLevel="0" collapsed="false">
      <c r="A47" s="7" t="s">
        <v>64</v>
      </c>
      <c r="B47" s="8" t="str">
        <f aca="false">IF(AND($B$33="Y",$B$27&gt;0),"Y","N")</f>
        <v>Y</v>
      </c>
      <c r="C47" s="11" t="n">
        <f aca="false">IF(B47="Y",$B$27*'Rate Card'!$B$35,0)</f>
        <v>100</v>
      </c>
      <c r="D47" s="11" t="n">
        <f aca="false">C47/12</f>
        <v>8.33333333333333</v>
      </c>
      <c r="E47" s="12" t="s">
        <v>65</v>
      </c>
    </row>
    <row r="48" customFormat="false" ht="15" hidden="false" customHeight="true" outlineLevel="0" collapsed="false">
      <c r="A48" s="7" t="s">
        <v>66</v>
      </c>
      <c r="B48" s="8" t="str">
        <f aca="false">IF($B$28&gt;0,"Y","N")</f>
        <v>Y</v>
      </c>
      <c r="C48" s="11" t="n">
        <f aca="false">IF(B48="Y",$B$28*'Rate Card'!$B$37,0)</f>
        <v>600</v>
      </c>
      <c r="D48" s="11" t="n">
        <f aca="false">C48/12</f>
        <v>50</v>
      </c>
      <c r="E48" s="12" t="s">
        <v>67</v>
      </c>
    </row>
    <row r="49" customFormat="false" ht="15" hidden="false" customHeight="true" outlineLevel="0" collapsed="false">
      <c r="A49" s="9" t="s">
        <v>68</v>
      </c>
      <c r="B49" s="3"/>
      <c r="C49" s="13" t="n">
        <f aca="false">SUM(C36:C48)</f>
        <v>5313.3</v>
      </c>
      <c r="D49" s="13" t="n">
        <f aca="false">C49/12</f>
        <v>442.775</v>
      </c>
      <c r="E49" s="3"/>
    </row>
    <row r="50" customFormat="false" ht="15" hidden="false" customHeight="true" outlineLevel="0" collapsed="false">
      <c r="A50" s="7" t="s">
        <v>69</v>
      </c>
      <c r="B50" s="3"/>
      <c r="C50" s="14" t="n">
        <f aca="false">MAX(0,'Rate Card'!$B$47*12-C49)</f>
        <v>0</v>
      </c>
      <c r="D50" s="14" t="n">
        <f aca="false">C50/12</f>
        <v>0</v>
      </c>
      <c r="E50" s="3"/>
    </row>
    <row r="51" customFormat="false" ht="15" hidden="false" customHeight="true" outlineLevel="0" collapsed="false">
      <c r="A51" s="7" t="s">
        <v>70</v>
      </c>
      <c r="B51" s="3"/>
      <c r="C51" s="14" t="n">
        <f aca="false">-IF($B$30="Y",(C49+C50)*'Rate Card'!$B$48,0)</f>
        <v>-0</v>
      </c>
      <c r="D51" s="14" t="n">
        <f aca="false">C51/12</f>
        <v>-0</v>
      </c>
      <c r="E51" s="3"/>
    </row>
    <row r="52" customFormat="false" ht="15" hidden="false" customHeight="true" outlineLevel="0" collapsed="false">
      <c r="A52" s="15" t="s">
        <v>71</v>
      </c>
      <c r="B52" s="16"/>
      <c r="C52" s="17" t="n">
        <f aca="false">C49+C50+C51</f>
        <v>5313.3</v>
      </c>
      <c r="D52" s="17" t="n">
        <f aca="false">C52/12</f>
        <v>442.775</v>
      </c>
      <c r="E52" s="16"/>
    </row>
    <row r="53" customFormat="false" ht="15" hidden="false" customHeight="true" outlineLevel="0" collapsed="false">
      <c r="A53" s="7" t="s">
        <v>72</v>
      </c>
      <c r="B53" s="3"/>
      <c r="C53" s="14" t="n">
        <f aca="false">C52*'Rate Card'!$B$49</f>
        <v>1062.66</v>
      </c>
      <c r="D53" s="14" t="n">
        <f aca="false">C53/12</f>
        <v>88.555</v>
      </c>
      <c r="E53" s="3"/>
    </row>
    <row r="54" customFormat="false" ht="15" hidden="false" customHeight="true" outlineLevel="0" collapsed="false">
      <c r="A54" s="15" t="s">
        <v>73</v>
      </c>
      <c r="B54" s="16"/>
      <c r="C54" s="17" t="n">
        <f aca="false">C52+C53</f>
        <v>6375.96</v>
      </c>
      <c r="D54" s="17" t="n">
        <f aca="false">C54/12</f>
        <v>531.33</v>
      </c>
      <c r="E54" s="16"/>
    </row>
    <row r="55" customFormat="false" ht="15" hidden="false" customHeight="true" outlineLevel="0" collapsed="false">
      <c r="A55" s="3"/>
      <c r="B55" s="3"/>
      <c r="C55" s="3"/>
      <c r="D55" s="3"/>
      <c r="E55" s="3"/>
    </row>
    <row r="56" customFormat="false" ht="15" hidden="false" customHeight="true" outlineLevel="0" collapsed="false">
      <c r="A56" s="5" t="s">
        <v>74</v>
      </c>
      <c r="B56" s="5" t="s">
        <v>75</v>
      </c>
      <c r="C56" s="5" t="s">
        <v>76</v>
      </c>
      <c r="D56" s="5" t="s">
        <v>77</v>
      </c>
      <c r="E56" s="5"/>
    </row>
    <row r="57" customFormat="false" ht="15" hidden="false" customHeight="true" outlineLevel="0" collapsed="false">
      <c r="A57" s="7" t="s">
        <v>78</v>
      </c>
      <c r="B57" s="8" t="n">
        <v>0</v>
      </c>
      <c r="C57" s="11" t="n">
        <f aca="false">B57*D57</f>
        <v>0</v>
      </c>
      <c r="D57" s="11" t="n">
        <f aca="false">'Rate Card'!$B$40</f>
        <v>150</v>
      </c>
      <c r="E57" s="3"/>
    </row>
    <row r="58" customFormat="false" ht="15" hidden="false" customHeight="true" outlineLevel="0" collapsed="false">
      <c r="A58" s="7" t="s">
        <v>79</v>
      </c>
      <c r="B58" s="8" t="n">
        <v>0</v>
      </c>
      <c r="C58" s="11" t="n">
        <f aca="false">B58*D58</f>
        <v>0</v>
      </c>
      <c r="D58" s="11" t="n">
        <f aca="false">'Rate Card'!$B$15</f>
        <v>100</v>
      </c>
      <c r="E58" s="3"/>
    </row>
    <row r="59" customFormat="false" ht="15" hidden="false" customHeight="true" outlineLevel="0" collapsed="false">
      <c r="A59" s="7" t="s">
        <v>80</v>
      </c>
      <c r="B59" s="8" t="n">
        <v>0</v>
      </c>
      <c r="C59" s="11" t="n">
        <f aca="false">B59*D59</f>
        <v>0</v>
      </c>
      <c r="D59" s="11" t="n">
        <f aca="false">'Rate Card'!$B$41</f>
        <v>450</v>
      </c>
      <c r="E59" s="3"/>
    </row>
    <row r="60" customFormat="false" ht="15" hidden="false" customHeight="true" outlineLevel="0" collapsed="false">
      <c r="A60" s="7" t="s">
        <v>81</v>
      </c>
      <c r="B60" s="8" t="n">
        <v>0</v>
      </c>
      <c r="C60" s="11" t="n">
        <f aca="false">B60*D60</f>
        <v>0</v>
      </c>
      <c r="D60" s="11" t="n">
        <f aca="false">'Rate Card'!$B$42</f>
        <v>150</v>
      </c>
      <c r="E60" s="3"/>
    </row>
    <row r="61" customFormat="false" ht="15" hidden="false" customHeight="true" outlineLevel="0" collapsed="false">
      <c r="A61" s="7" t="s">
        <v>82</v>
      </c>
      <c r="B61" s="8" t="n">
        <v>0</v>
      </c>
      <c r="C61" s="11" t="n">
        <f aca="false">B61*D61</f>
        <v>0</v>
      </c>
      <c r="D61" s="11" t="n">
        <f aca="false">'Rate Card'!$B$43</f>
        <v>150</v>
      </c>
      <c r="E61" s="3"/>
    </row>
    <row r="62" customFormat="false" ht="15" hidden="false" customHeight="true" outlineLevel="0" collapsed="false">
      <c r="A62" s="7" t="s">
        <v>83</v>
      </c>
      <c r="B62" s="8" t="n">
        <v>0</v>
      </c>
      <c r="C62" s="11" t="n">
        <f aca="false">B62*D62</f>
        <v>0</v>
      </c>
      <c r="D62" s="11" t="n">
        <f aca="false">'Rate Card'!$B$38</f>
        <v>350</v>
      </c>
      <c r="E62" s="3"/>
    </row>
    <row r="63" customFormat="false" ht="15" hidden="false" customHeight="true" outlineLevel="0" collapsed="false">
      <c r="A63" s="7" t="s">
        <v>84</v>
      </c>
      <c r="B63" s="8" t="n">
        <v>0</v>
      </c>
      <c r="C63" s="11" t="n">
        <f aca="false">B63*D63</f>
        <v>0</v>
      </c>
      <c r="D63" s="11" t="n">
        <f aca="false">'Rate Card'!$B$44</f>
        <v>1500</v>
      </c>
      <c r="E63" s="3"/>
    </row>
    <row r="64" customFormat="false" ht="15" hidden="false" customHeight="true" outlineLevel="0" collapsed="false">
      <c r="A64" s="7" t="s">
        <v>85</v>
      </c>
      <c r="B64" s="8" t="n">
        <v>0</v>
      </c>
      <c r="C64" s="11" t="n">
        <f aca="false">B64*D64</f>
        <v>0</v>
      </c>
      <c r="D64" s="11" t="n">
        <f aca="false">'Rate Card'!$B$45</f>
        <v>90</v>
      </c>
      <c r="E64" s="3"/>
    </row>
    <row r="65" customFormat="false" ht="15" hidden="false" customHeight="true" outlineLevel="0" collapsed="false">
      <c r="A65" s="9" t="s">
        <v>86</v>
      </c>
      <c r="B65" s="3"/>
      <c r="C65" s="13" t="n">
        <f aca="false">SUM(C57:C64)</f>
        <v>0</v>
      </c>
      <c r="D65" s="3"/>
      <c r="E65" s="3"/>
    </row>
    <row r="66" customFormat="false" ht="15" hidden="false" customHeight="true" outlineLevel="0" collapsed="false">
      <c r="A66" s="9" t="s">
        <v>87</v>
      </c>
      <c r="B66" s="3"/>
      <c r="C66" s="13" t="n">
        <f aca="false">C65*(1+'Rate Card'!$B$49)</f>
        <v>0</v>
      </c>
      <c r="D66" s="3"/>
      <c r="E66" s="3"/>
    </row>
    <row r="67" customFormat="false" ht="15" hidden="false" customHeight="true" outlineLevel="0" collapsed="false">
      <c r="A67" s="3"/>
      <c r="B67" s="3"/>
      <c r="C67" s="3"/>
      <c r="D67" s="3"/>
      <c r="E67" s="3"/>
    </row>
    <row r="68" customFormat="false" ht="15" hidden="false" customHeight="true" outlineLevel="0" collapsed="false">
      <c r="A68" s="4" t="s">
        <v>88</v>
      </c>
      <c r="B68" s="3"/>
      <c r="C68" s="3"/>
      <c r="D68" s="3"/>
      <c r="E68" s="3"/>
    </row>
  </sheetData>
  <dataValidations count="12">
    <dataValidation allowBlank="false" errorStyle="stop" operator="between" showDropDown="false" showErrorMessage="false" showInputMessage="false" sqref="B6" type="list">
      <formula1>'Rate Card'!$A$58:$A$62</formula1>
      <formula2>0</formula2>
    </dataValidation>
    <dataValidation allowBlank="false" errorStyle="stop" operator="between" showDropDown="false" showErrorMessage="false" showInputMessage="false" sqref="B7" type="list">
      <formula1>'Rate Card'!$B$57:$F$57</formula1>
      <formula2>0</formula2>
    </dataValidation>
    <dataValidation allowBlank="false" errorStyle="stop" operator="between" showDropDown="false" showErrorMessage="false" showInputMessage="false" sqref="B8" type="list">
      <formula1>'Rate Card'!$A$52:$A$54</formula1>
      <formula2>0</formula2>
    </dataValidation>
    <dataValidation allowBlank="false" errorStyle="stop" operator="between" showDropDown="false" showErrorMessage="false" showInputMessage="false" sqref="B9" type="list">
      <formula1>'Rate Card'!$D$52:$D$54</formula1>
      <formula2>0</formula2>
    </dataValidation>
    <dataValidation allowBlank="false" errorStyle="stop" operator="between" showDropDown="false" showErrorMessage="false" showInputMessage="false" sqref="B14" type="list">
      <formula1>"None,Standard,Flat Rate"</formula1>
      <formula2>0</formula2>
    </dataValidation>
    <dataValidation allowBlank="false" errorStyle="stop" operator="between" showDropDown="false" showErrorMessage="false" showInputMessage="false" sqref="B17" type="list">
      <formula1>"Monthly,Weekly"</formula1>
      <formula2>0</formula2>
    </dataValidation>
    <dataValidation allowBlank="false" errorStyle="stop" operator="between" showDropDown="false" showErrorMessage="false" showInputMessage="false" sqref="B13" type="list">
      <formula1>"Y,N"</formula1>
      <formula2>0</formula2>
    </dataValidation>
    <dataValidation allowBlank="false" errorStyle="stop" operator="between" showDropDown="false" showErrorMessage="false" showInputMessage="false" sqref="B15" type="list">
      <formula1>"Y,N"</formula1>
      <formula2>0</formula2>
    </dataValidation>
    <dataValidation allowBlank="false" errorStyle="stop" operator="between" showDropDown="false" showErrorMessage="false" showInputMessage="false" sqref="B18" type="list">
      <formula1>"Y,N"</formula1>
      <formula2>0</formula2>
    </dataValidation>
    <dataValidation allowBlank="false" errorStyle="stop" operator="between" showDropDown="false" showErrorMessage="false" showInputMessage="false" sqref="B20" type="list">
      <formula1>"Y,N"</formula1>
      <formula2>0</formula2>
    </dataValidation>
    <dataValidation allowBlank="false" errorStyle="stop" operator="between" showDropDown="false" showErrorMessage="false" showInputMessage="false" sqref="B29" type="list">
      <formula1>"Y,N"</formula1>
      <formula2>0</formula2>
    </dataValidation>
    <dataValidation allowBlank="false" errorStyle="stop" operator="between" showDropDown="false" showErrorMessage="false" showInputMessage="false" sqref="B3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14"/>
    <col collapsed="false" customWidth="true" hidden="false" outlineLevel="0" max="3" min="3" style="1" width="20"/>
    <col collapsed="false" customWidth="true" hidden="false" outlineLevel="0" max="6" min="4" style="1" width="14"/>
  </cols>
  <sheetData>
    <row r="1" customFormat="false" ht="17.25" hidden="false" customHeight="true" outlineLevel="0" collapsed="false">
      <c r="A1" s="2" t="s">
        <v>89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4" t="s">
        <v>90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44</v>
      </c>
      <c r="B4" s="6"/>
      <c r="C4" s="6"/>
      <c r="D4" s="3"/>
      <c r="E4" s="3"/>
      <c r="F4" s="3"/>
    </row>
    <row r="5" customFormat="false" ht="15" hidden="false" customHeight="true" outlineLevel="0" collapsed="false">
      <c r="A5" s="7" t="s">
        <v>91</v>
      </c>
      <c r="B5" s="18" t="n">
        <v>60</v>
      </c>
      <c r="C5" s="7" t="s">
        <v>92</v>
      </c>
      <c r="D5" s="3"/>
      <c r="E5" s="3"/>
      <c r="F5" s="3"/>
    </row>
    <row r="6" customFormat="false" ht="15" hidden="false" customHeight="true" outlineLevel="0" collapsed="false">
      <c r="A6" s="7" t="s">
        <v>93</v>
      </c>
      <c r="B6" s="19" t="n">
        <v>50</v>
      </c>
      <c r="C6" s="7" t="s">
        <v>92</v>
      </c>
      <c r="D6" s="3"/>
      <c r="E6" s="3"/>
      <c r="F6" s="3"/>
    </row>
    <row r="7" customFormat="false" ht="15" hidden="false" customHeight="true" outlineLevel="0" collapsed="false">
      <c r="A7" s="7" t="s">
        <v>94</v>
      </c>
      <c r="B7" s="18" t="n">
        <v>0.8</v>
      </c>
      <c r="C7" s="7" t="s">
        <v>95</v>
      </c>
      <c r="D7" s="3"/>
      <c r="E7" s="3"/>
      <c r="F7" s="3"/>
    </row>
    <row r="8" customFormat="false" ht="15" hidden="false" customHeight="true" outlineLevel="0" collapsed="false">
      <c r="A8" s="7" t="s">
        <v>96</v>
      </c>
      <c r="B8" s="18" t="n">
        <v>10</v>
      </c>
      <c r="C8" s="7" t="s">
        <v>92</v>
      </c>
      <c r="D8" s="3"/>
      <c r="E8" s="3"/>
      <c r="F8" s="3"/>
    </row>
    <row r="9" customFormat="false" ht="15" hidden="false" customHeight="true" outlineLevel="0" collapsed="false">
      <c r="A9" s="7" t="s">
        <v>97</v>
      </c>
      <c r="B9" s="18" t="n">
        <v>20</v>
      </c>
      <c r="C9" s="7" t="s">
        <v>92</v>
      </c>
      <c r="D9" s="3"/>
      <c r="E9" s="3"/>
      <c r="F9" s="3"/>
    </row>
    <row r="10" customFormat="false" ht="15" hidden="false" customHeight="true" outlineLevel="0" collapsed="false">
      <c r="A10" s="7" t="s">
        <v>98</v>
      </c>
      <c r="B10" s="18" t="n">
        <v>0.5</v>
      </c>
      <c r="C10" s="7" t="s">
        <v>99</v>
      </c>
      <c r="D10" s="3"/>
      <c r="E10" s="3"/>
      <c r="F10" s="3"/>
    </row>
    <row r="11" customFormat="false" ht="15" hidden="false" customHeight="true" outlineLevel="0" collapsed="false">
      <c r="A11" s="5" t="s">
        <v>72</v>
      </c>
      <c r="B11" s="6"/>
      <c r="C11" s="6"/>
      <c r="D11" s="3"/>
      <c r="E11" s="3"/>
      <c r="F11" s="3"/>
    </row>
    <row r="12" customFormat="false" ht="15" hidden="false" customHeight="true" outlineLevel="0" collapsed="false">
      <c r="A12" s="7" t="s">
        <v>100</v>
      </c>
      <c r="B12" s="18" t="n">
        <v>75</v>
      </c>
      <c r="C12" s="7" t="s">
        <v>101</v>
      </c>
      <c r="D12" s="3"/>
      <c r="E12" s="3"/>
      <c r="F12" s="3"/>
    </row>
    <row r="13" customFormat="false" ht="15" hidden="false" customHeight="true" outlineLevel="0" collapsed="false">
      <c r="A13" s="7" t="s">
        <v>102</v>
      </c>
      <c r="B13" s="18" t="n">
        <v>50</v>
      </c>
      <c r="C13" s="7" t="s">
        <v>101</v>
      </c>
      <c r="D13" s="3"/>
      <c r="E13" s="3"/>
      <c r="F13" s="3"/>
    </row>
    <row r="14" customFormat="false" ht="15" hidden="false" customHeight="true" outlineLevel="0" collapsed="false">
      <c r="A14" s="7" t="s">
        <v>103</v>
      </c>
      <c r="B14" s="18" t="n">
        <v>150</v>
      </c>
      <c r="C14" s="7" t="s">
        <v>104</v>
      </c>
      <c r="D14" s="3"/>
      <c r="E14" s="3"/>
      <c r="F14" s="3"/>
    </row>
    <row r="15" customFormat="false" ht="15" hidden="false" customHeight="true" outlineLevel="0" collapsed="false">
      <c r="A15" s="7" t="s">
        <v>105</v>
      </c>
      <c r="B15" s="18" t="n">
        <v>100</v>
      </c>
      <c r="C15" s="7" t="s">
        <v>106</v>
      </c>
      <c r="D15" s="3"/>
      <c r="E15" s="3"/>
      <c r="F15" s="3"/>
    </row>
    <row r="16" customFormat="false" ht="15" hidden="false" customHeight="true" outlineLevel="0" collapsed="false">
      <c r="A16" s="5" t="s">
        <v>48</v>
      </c>
      <c r="B16" s="6"/>
      <c r="C16" s="6"/>
      <c r="D16" s="3"/>
      <c r="E16" s="3"/>
      <c r="F16" s="3"/>
    </row>
    <row r="17" customFormat="false" ht="15" hidden="false" customHeight="true" outlineLevel="0" collapsed="false">
      <c r="A17" s="7" t="s">
        <v>107</v>
      </c>
      <c r="B17" s="18" t="n">
        <v>5</v>
      </c>
      <c r="C17" s="7" t="s">
        <v>108</v>
      </c>
      <c r="D17" s="3"/>
      <c r="E17" s="3"/>
      <c r="F17" s="3"/>
    </row>
    <row r="18" customFormat="false" ht="15" hidden="false" customHeight="true" outlineLevel="0" collapsed="false">
      <c r="A18" s="7" t="s">
        <v>109</v>
      </c>
      <c r="B18" s="18" t="n">
        <v>20</v>
      </c>
      <c r="C18" s="7" t="s">
        <v>110</v>
      </c>
      <c r="D18" s="3"/>
      <c r="E18" s="3"/>
      <c r="F18" s="3"/>
    </row>
    <row r="19" customFormat="false" ht="15" hidden="false" customHeight="true" outlineLevel="0" collapsed="false">
      <c r="A19" s="7" t="s">
        <v>111</v>
      </c>
      <c r="B19" s="18" t="n">
        <v>10</v>
      </c>
      <c r="C19" s="7" t="s">
        <v>92</v>
      </c>
      <c r="D19" s="3"/>
      <c r="E19" s="3"/>
      <c r="F19" s="3"/>
    </row>
    <row r="20" customFormat="false" ht="15" hidden="false" customHeight="true" outlineLevel="0" collapsed="false">
      <c r="A20" s="7" t="s">
        <v>112</v>
      </c>
      <c r="B20" s="18" t="n">
        <v>75</v>
      </c>
      <c r="C20" s="7" t="s">
        <v>113</v>
      </c>
      <c r="D20" s="3"/>
      <c r="E20" s="3"/>
      <c r="F20" s="3"/>
    </row>
    <row r="21" customFormat="false" ht="15" hidden="false" customHeight="true" outlineLevel="0" collapsed="false">
      <c r="A21" s="7" t="s">
        <v>114</v>
      </c>
      <c r="B21" s="18" t="n">
        <v>25</v>
      </c>
      <c r="C21" s="7" t="s">
        <v>92</v>
      </c>
      <c r="D21" s="3"/>
      <c r="E21" s="3"/>
      <c r="F21" s="3"/>
    </row>
    <row r="22" customFormat="false" ht="15" hidden="false" customHeight="true" outlineLevel="0" collapsed="false">
      <c r="A22" s="7" t="s">
        <v>115</v>
      </c>
      <c r="B22" s="18" t="n">
        <v>2</v>
      </c>
      <c r="C22" s="7" t="s">
        <v>116</v>
      </c>
      <c r="D22" s="3"/>
      <c r="E22" s="3"/>
      <c r="F22" s="3"/>
    </row>
    <row r="23" customFormat="false" ht="15" hidden="false" customHeight="true" outlineLevel="0" collapsed="false">
      <c r="A23" s="5" t="s">
        <v>117</v>
      </c>
      <c r="B23" s="6"/>
      <c r="C23" s="6"/>
      <c r="D23" s="3"/>
      <c r="E23" s="3"/>
      <c r="F23" s="3"/>
    </row>
    <row r="24" customFormat="false" ht="15" hidden="false" customHeight="true" outlineLevel="0" collapsed="false">
      <c r="A24" s="7" t="s">
        <v>54</v>
      </c>
      <c r="B24" s="18" t="n">
        <v>250</v>
      </c>
      <c r="C24" s="7" t="s">
        <v>104</v>
      </c>
      <c r="D24" s="3"/>
      <c r="E24" s="3"/>
      <c r="F24" s="3"/>
    </row>
    <row r="25" customFormat="false" ht="15" hidden="false" customHeight="true" outlineLevel="0" collapsed="false">
      <c r="A25" s="7" t="s">
        <v>118</v>
      </c>
      <c r="B25" s="18" t="n">
        <v>200</v>
      </c>
      <c r="C25" s="7" t="s">
        <v>101</v>
      </c>
      <c r="D25" s="3"/>
      <c r="E25" s="3"/>
      <c r="F25" s="3"/>
    </row>
    <row r="26" customFormat="false" ht="15" hidden="false" customHeight="true" outlineLevel="0" collapsed="false">
      <c r="A26" s="7" t="s">
        <v>119</v>
      </c>
      <c r="B26" s="18" t="n">
        <v>75</v>
      </c>
      <c r="C26" s="7" t="s">
        <v>120</v>
      </c>
      <c r="D26" s="3"/>
      <c r="E26" s="3"/>
      <c r="F26" s="3"/>
    </row>
    <row r="27" customFormat="false" ht="15" hidden="false" customHeight="true" outlineLevel="0" collapsed="false">
      <c r="A27" s="7" t="s">
        <v>121</v>
      </c>
      <c r="B27" s="18" t="n">
        <v>150</v>
      </c>
      <c r="C27" s="7" t="s">
        <v>122</v>
      </c>
      <c r="D27" s="3"/>
      <c r="E27" s="3"/>
      <c r="F27" s="3"/>
    </row>
    <row r="28" customFormat="false" ht="15" hidden="false" customHeight="true" outlineLevel="0" collapsed="false">
      <c r="A28" s="7" t="s">
        <v>123</v>
      </c>
      <c r="B28" s="18" t="n">
        <v>100</v>
      </c>
      <c r="C28" s="7" t="s">
        <v>101</v>
      </c>
      <c r="D28" s="3"/>
      <c r="E28" s="3"/>
      <c r="F28" s="3"/>
    </row>
    <row r="29" customFormat="false" ht="15" hidden="false" customHeight="true" outlineLevel="0" collapsed="false">
      <c r="A29" s="7" t="s">
        <v>124</v>
      </c>
      <c r="B29" s="18" t="n">
        <v>250</v>
      </c>
      <c r="C29" s="7" t="s">
        <v>104</v>
      </c>
      <c r="D29" s="3"/>
      <c r="E29" s="3"/>
      <c r="F29" s="3"/>
    </row>
    <row r="30" customFormat="false" ht="15" hidden="false" customHeight="true" outlineLevel="0" collapsed="false">
      <c r="A30" s="7" t="s">
        <v>125</v>
      </c>
      <c r="B30" s="18" t="n">
        <v>40</v>
      </c>
      <c r="C30" s="7" t="s">
        <v>126</v>
      </c>
      <c r="D30" s="3"/>
      <c r="E30" s="3"/>
      <c r="F30" s="3"/>
    </row>
    <row r="31" customFormat="false" ht="15" hidden="false" customHeight="true" outlineLevel="0" collapsed="false">
      <c r="A31" s="5" t="s">
        <v>127</v>
      </c>
      <c r="B31" s="6"/>
      <c r="C31" s="6"/>
      <c r="D31" s="3"/>
      <c r="E31" s="3"/>
      <c r="F31" s="3"/>
    </row>
    <row r="32" customFormat="false" ht="15" hidden="false" customHeight="true" outlineLevel="0" collapsed="false">
      <c r="A32" s="7" t="s">
        <v>128</v>
      </c>
      <c r="B32" s="18" t="n">
        <v>60</v>
      </c>
      <c r="C32" s="7" t="s">
        <v>104</v>
      </c>
      <c r="D32" s="3"/>
      <c r="E32" s="3"/>
      <c r="F32" s="3"/>
    </row>
    <row r="33" customFormat="false" ht="15" hidden="false" customHeight="true" outlineLevel="0" collapsed="false">
      <c r="A33" s="7" t="s">
        <v>129</v>
      </c>
      <c r="B33" s="18" t="n">
        <v>50</v>
      </c>
      <c r="C33" s="7" t="s">
        <v>104</v>
      </c>
      <c r="D33" s="3"/>
      <c r="E33" s="3"/>
      <c r="F33" s="3"/>
    </row>
    <row r="34" customFormat="false" ht="15" hidden="false" customHeight="true" outlineLevel="0" collapsed="false">
      <c r="A34" s="7" t="s">
        <v>130</v>
      </c>
      <c r="B34" s="18" t="n">
        <v>120</v>
      </c>
      <c r="C34" s="7" t="s">
        <v>104</v>
      </c>
      <c r="D34" s="3"/>
      <c r="E34" s="3"/>
      <c r="F34" s="3"/>
    </row>
    <row r="35" customFormat="false" ht="15" hidden="false" customHeight="true" outlineLevel="0" collapsed="false">
      <c r="A35" s="7" t="s">
        <v>131</v>
      </c>
      <c r="B35" s="18" t="n">
        <v>25</v>
      </c>
      <c r="C35" s="7" t="s">
        <v>132</v>
      </c>
      <c r="D35" s="3"/>
      <c r="E35" s="3"/>
      <c r="F35" s="3"/>
    </row>
    <row r="36" customFormat="false" ht="15" hidden="false" customHeight="true" outlineLevel="0" collapsed="false">
      <c r="A36" s="5" t="s">
        <v>133</v>
      </c>
      <c r="B36" s="6"/>
      <c r="C36" s="6"/>
      <c r="D36" s="3"/>
      <c r="E36" s="3"/>
      <c r="F36" s="3"/>
    </row>
    <row r="37" customFormat="false" ht="15" hidden="false" customHeight="true" outlineLevel="0" collapsed="false">
      <c r="A37" s="7" t="s">
        <v>134</v>
      </c>
      <c r="B37" s="18" t="n">
        <v>150</v>
      </c>
      <c r="C37" s="7" t="s">
        <v>135</v>
      </c>
      <c r="D37" s="3"/>
      <c r="E37" s="3"/>
      <c r="F37" s="3"/>
    </row>
    <row r="38" customFormat="false" ht="15" hidden="false" customHeight="true" outlineLevel="0" collapsed="false">
      <c r="A38" s="7" t="s">
        <v>83</v>
      </c>
      <c r="B38" s="18" t="n">
        <v>350</v>
      </c>
      <c r="C38" s="7" t="s">
        <v>136</v>
      </c>
      <c r="D38" s="3"/>
      <c r="E38" s="3"/>
      <c r="F38" s="3"/>
    </row>
    <row r="39" customFormat="false" ht="15" hidden="false" customHeight="true" outlineLevel="0" collapsed="false">
      <c r="A39" s="5" t="s">
        <v>74</v>
      </c>
      <c r="B39" s="6"/>
      <c r="C39" s="6"/>
      <c r="D39" s="3"/>
      <c r="E39" s="3"/>
      <c r="F39" s="3"/>
    </row>
    <row r="40" customFormat="false" ht="15" hidden="false" customHeight="true" outlineLevel="0" collapsed="false">
      <c r="A40" s="7" t="s">
        <v>78</v>
      </c>
      <c r="B40" s="18" t="n">
        <v>150</v>
      </c>
      <c r="C40" s="7" t="s">
        <v>106</v>
      </c>
      <c r="D40" s="3"/>
      <c r="E40" s="3"/>
      <c r="F40" s="3"/>
    </row>
    <row r="41" customFormat="false" ht="15" hidden="false" customHeight="true" outlineLevel="0" collapsed="false">
      <c r="A41" s="7" t="s">
        <v>137</v>
      </c>
      <c r="B41" s="18" t="n">
        <v>450</v>
      </c>
      <c r="C41" s="7" t="s">
        <v>106</v>
      </c>
      <c r="D41" s="3"/>
      <c r="E41" s="3"/>
      <c r="F41" s="3"/>
    </row>
    <row r="42" customFormat="false" ht="15" hidden="false" customHeight="true" outlineLevel="0" collapsed="false">
      <c r="A42" s="7" t="s">
        <v>81</v>
      </c>
      <c r="B42" s="18" t="n">
        <v>150</v>
      </c>
      <c r="C42" s="7" t="s">
        <v>106</v>
      </c>
      <c r="D42" s="3"/>
      <c r="E42" s="3"/>
      <c r="F42" s="3"/>
    </row>
    <row r="43" customFormat="false" ht="15" hidden="false" customHeight="true" outlineLevel="0" collapsed="false">
      <c r="A43" s="7" t="s">
        <v>82</v>
      </c>
      <c r="B43" s="18" t="n">
        <v>150</v>
      </c>
      <c r="C43" s="7" t="s">
        <v>104</v>
      </c>
      <c r="D43" s="3"/>
      <c r="E43" s="3"/>
      <c r="F43" s="3"/>
    </row>
    <row r="44" customFormat="false" ht="15" hidden="false" customHeight="true" outlineLevel="0" collapsed="false">
      <c r="A44" s="7" t="s">
        <v>138</v>
      </c>
      <c r="B44" s="18" t="n">
        <v>1500</v>
      </c>
      <c r="C44" s="7" t="s">
        <v>139</v>
      </c>
      <c r="D44" s="3"/>
      <c r="E44" s="3"/>
      <c r="F44" s="3"/>
    </row>
    <row r="45" customFormat="false" ht="15" hidden="false" customHeight="true" outlineLevel="0" collapsed="false">
      <c r="A45" s="7" t="s">
        <v>140</v>
      </c>
      <c r="B45" s="18" t="n">
        <v>90</v>
      </c>
      <c r="C45" s="7" t="s">
        <v>141</v>
      </c>
      <c r="D45" s="3"/>
      <c r="E45" s="3"/>
      <c r="F45" s="3"/>
    </row>
    <row r="46" customFormat="false" ht="15" hidden="false" customHeight="true" outlineLevel="0" collapsed="false">
      <c r="A46" s="5" t="s">
        <v>142</v>
      </c>
      <c r="B46" s="6"/>
      <c r="C46" s="6"/>
      <c r="D46" s="3"/>
      <c r="E46" s="3"/>
      <c r="F46" s="3"/>
    </row>
    <row r="47" customFormat="false" ht="15" hidden="false" customHeight="true" outlineLevel="0" collapsed="false">
      <c r="A47" s="7" t="s">
        <v>143</v>
      </c>
      <c r="B47" s="18" t="n">
        <v>50</v>
      </c>
      <c r="C47" s="7" t="s">
        <v>92</v>
      </c>
      <c r="D47" s="3"/>
      <c r="E47" s="3"/>
      <c r="F47" s="3"/>
    </row>
    <row r="48" customFormat="false" ht="15" hidden="false" customHeight="true" outlineLevel="0" collapsed="false">
      <c r="A48" s="7" t="s">
        <v>144</v>
      </c>
      <c r="B48" s="20" t="n">
        <v>0.05</v>
      </c>
      <c r="C48" s="7" t="s">
        <v>145</v>
      </c>
      <c r="D48" s="3"/>
      <c r="E48" s="3"/>
      <c r="F48" s="3"/>
    </row>
    <row r="49" customFormat="false" ht="15" hidden="false" customHeight="true" outlineLevel="0" collapsed="false">
      <c r="A49" s="7" t="s">
        <v>146</v>
      </c>
      <c r="B49" s="20" t="n">
        <v>0.2</v>
      </c>
      <c r="C49" s="7" t="s">
        <v>147</v>
      </c>
      <c r="D49" s="3"/>
      <c r="E49" s="3"/>
      <c r="F49" s="3"/>
    </row>
    <row r="50" customFormat="false" ht="15" hidden="false" customHeight="true" outlineLevel="0" collapsed="false">
      <c r="A50" s="3"/>
      <c r="B50" s="3"/>
      <c r="C50" s="3"/>
      <c r="D50" s="3"/>
      <c r="E50" s="3"/>
      <c r="F50" s="3"/>
    </row>
    <row r="51" customFormat="false" ht="15" hidden="false" customHeight="true" outlineLevel="0" collapsed="false">
      <c r="A51" s="9" t="s">
        <v>148</v>
      </c>
      <c r="B51" s="3"/>
      <c r="C51" s="3"/>
      <c r="D51" s="9" t="s">
        <v>149</v>
      </c>
      <c r="E51" s="3"/>
      <c r="F51" s="3"/>
    </row>
    <row r="52" customFormat="false" ht="15" hidden="false" customHeight="true" outlineLevel="0" collapsed="false">
      <c r="A52" s="7" t="s">
        <v>150</v>
      </c>
      <c r="B52" s="21" t="n">
        <v>0.9</v>
      </c>
      <c r="C52" s="3"/>
      <c r="D52" s="7" t="s">
        <v>151</v>
      </c>
      <c r="E52" s="21" t="n">
        <v>1</v>
      </c>
      <c r="F52" s="3"/>
    </row>
    <row r="53" customFormat="false" ht="15" hidden="false" customHeight="true" outlineLevel="0" collapsed="false">
      <c r="A53" s="7" t="s">
        <v>10</v>
      </c>
      <c r="B53" s="21" t="n">
        <v>1</v>
      </c>
      <c r="C53" s="3"/>
      <c r="D53" s="7" t="s">
        <v>12</v>
      </c>
      <c r="E53" s="21" t="n">
        <v>1.15</v>
      </c>
      <c r="F53" s="3"/>
    </row>
    <row r="54" customFormat="false" ht="15" hidden="false" customHeight="true" outlineLevel="0" collapsed="false">
      <c r="A54" s="7" t="s">
        <v>152</v>
      </c>
      <c r="B54" s="21" t="n">
        <v>1.3</v>
      </c>
      <c r="C54" s="3"/>
      <c r="D54" s="7" t="s">
        <v>153</v>
      </c>
      <c r="E54" s="21" t="n">
        <v>1.35</v>
      </c>
      <c r="F54" s="3"/>
    </row>
    <row r="55" customFormat="false" ht="15" hidden="false" customHeight="true" outlineLevel="0" collapsed="false">
      <c r="A55" s="3"/>
      <c r="B55" s="3"/>
      <c r="C55" s="3"/>
      <c r="D55" s="3"/>
      <c r="E55" s="3"/>
      <c r="F55" s="3"/>
    </row>
    <row r="56" customFormat="false" ht="15" hidden="false" customHeight="true" outlineLevel="0" collapsed="false">
      <c r="A56" s="9" t="s">
        <v>154</v>
      </c>
      <c r="B56" s="3"/>
      <c r="C56" s="3"/>
      <c r="D56" s="3"/>
      <c r="E56" s="3"/>
      <c r="F56" s="3"/>
    </row>
    <row r="57" customFormat="false" ht="15" hidden="false" customHeight="true" outlineLevel="0" collapsed="false">
      <c r="A57" s="9" t="s">
        <v>155</v>
      </c>
      <c r="B57" s="9" t="s">
        <v>156</v>
      </c>
      <c r="C57" s="9" t="s">
        <v>8</v>
      </c>
      <c r="D57" s="9" t="s">
        <v>157</v>
      </c>
      <c r="E57" s="9" t="s">
        <v>158</v>
      </c>
      <c r="F57" s="9" t="s">
        <v>159</v>
      </c>
    </row>
    <row r="58" customFormat="false" ht="15" hidden="false" customHeight="true" outlineLevel="0" collapsed="false">
      <c r="A58" s="7" t="s">
        <v>160</v>
      </c>
      <c r="B58" s="18" t="n">
        <v>300</v>
      </c>
      <c r="C58" s="18" t="n">
        <v>450</v>
      </c>
      <c r="D58" s="18" t="n">
        <v>650</v>
      </c>
      <c r="E58" s="18" t="n">
        <v>900</v>
      </c>
      <c r="F58" s="18" t="n">
        <v>1200</v>
      </c>
    </row>
    <row r="59" customFormat="false" ht="15" hidden="false" customHeight="true" outlineLevel="0" collapsed="false">
      <c r="A59" s="7" t="s">
        <v>161</v>
      </c>
      <c r="B59" s="18" t="n">
        <v>400</v>
      </c>
      <c r="C59" s="18" t="n">
        <v>550</v>
      </c>
      <c r="D59" s="18" t="n">
        <v>800</v>
      </c>
      <c r="E59" s="18" t="n">
        <v>1100</v>
      </c>
      <c r="F59" s="18" t="n">
        <v>1500</v>
      </c>
    </row>
    <row r="60" customFormat="false" ht="15" hidden="false" customHeight="true" outlineLevel="0" collapsed="false">
      <c r="A60" s="7" t="s">
        <v>6</v>
      </c>
      <c r="B60" s="18" t="n">
        <v>650</v>
      </c>
      <c r="C60" s="18" t="n">
        <v>850</v>
      </c>
      <c r="D60" s="18" t="n">
        <v>1150</v>
      </c>
      <c r="E60" s="18" t="n">
        <v>1500</v>
      </c>
      <c r="F60" s="18" t="n">
        <v>2000</v>
      </c>
    </row>
    <row r="61" customFormat="false" ht="15" hidden="false" customHeight="true" outlineLevel="0" collapsed="false">
      <c r="A61" s="7" t="s">
        <v>162</v>
      </c>
      <c r="B61" s="18" t="n">
        <v>750</v>
      </c>
      <c r="C61" s="18" t="n">
        <v>950</v>
      </c>
      <c r="D61" s="18" t="n">
        <v>1250</v>
      </c>
      <c r="E61" s="18" t="n">
        <v>1600</v>
      </c>
      <c r="F61" s="18" t="n">
        <v>2100</v>
      </c>
    </row>
    <row r="62" customFormat="false" ht="15" hidden="false" customHeight="true" outlineLevel="0" collapsed="false">
      <c r="A62" s="7" t="s">
        <v>163</v>
      </c>
      <c r="B62" s="18" t="n">
        <v>250</v>
      </c>
      <c r="C62" s="18" t="n">
        <v>350</v>
      </c>
      <c r="D62" s="18" t="n">
        <v>500</v>
      </c>
      <c r="E62" s="18" t="n">
        <v>700</v>
      </c>
      <c r="F62" s="18" t="n"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8" min="7" style="0" width="22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3" min="12" style="0" width="40"/>
  </cols>
  <sheetData>
    <row r="1" customFormat="false" ht="17.35" hidden="false" customHeight="false" outlineLevel="0" collapsed="false">
      <c r="A1" s="22" t="s">
        <v>164</v>
      </c>
    </row>
    <row r="2" customFormat="false" ht="15" hidden="false" customHeight="false" outlineLevel="0" collapsed="false">
      <c r="A2" s="23" t="s">
        <v>165</v>
      </c>
    </row>
    <row r="4" customFormat="false" ht="15" hidden="false" customHeight="false" outlineLevel="0" collapsed="false">
      <c r="A4" s="24" t="s">
        <v>166</v>
      </c>
      <c r="B4" s="24" t="s">
        <v>167</v>
      </c>
      <c r="C4" s="24" t="s">
        <v>168</v>
      </c>
      <c r="D4" s="24" t="s">
        <v>169</v>
      </c>
      <c r="E4" s="24" t="s">
        <v>170</v>
      </c>
      <c r="F4" s="24" t="s">
        <v>171</v>
      </c>
      <c r="G4" s="24" t="s">
        <v>172</v>
      </c>
      <c r="H4" s="24" t="s">
        <v>44</v>
      </c>
      <c r="I4" s="24" t="s">
        <v>72</v>
      </c>
      <c r="J4" s="24" t="s">
        <v>48</v>
      </c>
      <c r="K4" s="24" t="s">
        <v>173</v>
      </c>
      <c r="L4" s="24" t="s">
        <v>174</v>
      </c>
      <c r="M4" s="24" t="s">
        <v>175</v>
      </c>
    </row>
    <row r="5" customFormat="false" ht="52.2" hidden="false" customHeight="false" outlineLevel="0" collapsed="false">
      <c r="A5" s="25" t="s">
        <v>176</v>
      </c>
      <c r="B5" s="25" t="s">
        <v>177</v>
      </c>
      <c r="C5" s="25" t="s">
        <v>178</v>
      </c>
      <c r="D5" s="25" t="s">
        <v>179</v>
      </c>
      <c r="E5" s="25" t="s">
        <v>180</v>
      </c>
      <c r="F5" s="25" t="s">
        <v>181</v>
      </c>
      <c r="G5" s="25" t="s">
        <v>182</v>
      </c>
      <c r="H5" s="25" t="s">
        <v>182</v>
      </c>
      <c r="I5" s="25" t="s">
        <v>182</v>
      </c>
      <c r="J5" s="25" t="s">
        <v>182</v>
      </c>
      <c r="K5" s="25" t="s">
        <v>183</v>
      </c>
      <c r="L5" s="25" t="s">
        <v>184</v>
      </c>
      <c r="M5" s="25" t="s">
        <v>185</v>
      </c>
    </row>
    <row r="6" customFormat="false" ht="39.55" hidden="false" customHeight="false" outlineLevel="0" collapsed="false">
      <c r="A6" s="25" t="s">
        <v>186</v>
      </c>
      <c r="B6" s="25" t="s">
        <v>187</v>
      </c>
      <c r="C6" s="25" t="s">
        <v>188</v>
      </c>
      <c r="D6" s="25" t="s">
        <v>189</v>
      </c>
      <c r="E6" s="25" t="s">
        <v>190</v>
      </c>
      <c r="F6" s="25" t="s">
        <v>191</v>
      </c>
      <c r="G6" s="25" t="s">
        <v>192</v>
      </c>
      <c r="H6" s="25" t="s">
        <v>193</v>
      </c>
      <c r="I6" s="25" t="s">
        <v>182</v>
      </c>
      <c r="J6" s="25" t="s">
        <v>182</v>
      </c>
      <c r="K6" s="25" t="s">
        <v>194</v>
      </c>
      <c r="L6" s="25" t="s">
        <v>195</v>
      </c>
      <c r="M6" s="25" t="s">
        <v>196</v>
      </c>
    </row>
    <row r="7" customFormat="false" ht="39.55" hidden="false" customHeight="false" outlineLevel="0" collapsed="false">
      <c r="A7" s="25" t="s">
        <v>197</v>
      </c>
      <c r="B7" s="25" t="s">
        <v>198</v>
      </c>
      <c r="C7" s="25" t="s">
        <v>199</v>
      </c>
      <c r="D7" s="25" t="s">
        <v>200</v>
      </c>
      <c r="E7" s="25" t="s">
        <v>201</v>
      </c>
      <c r="F7" s="25" t="s">
        <v>201</v>
      </c>
      <c r="G7" s="25" t="s">
        <v>201</v>
      </c>
      <c r="H7" s="25" t="s">
        <v>202</v>
      </c>
      <c r="I7" s="25" t="s">
        <v>201</v>
      </c>
      <c r="J7" s="25" t="s">
        <v>201</v>
      </c>
      <c r="K7" s="25" t="s">
        <v>203</v>
      </c>
      <c r="L7" s="25" t="s">
        <v>204</v>
      </c>
      <c r="M7" s="25" t="s">
        <v>205</v>
      </c>
    </row>
    <row r="8" customFormat="false" ht="52.2" hidden="false" customHeight="false" outlineLevel="0" collapsed="false">
      <c r="A8" s="25" t="s">
        <v>206</v>
      </c>
      <c r="B8" s="25" t="s">
        <v>198</v>
      </c>
      <c r="C8" s="25" t="s">
        <v>207</v>
      </c>
      <c r="D8" s="25" t="s">
        <v>208</v>
      </c>
      <c r="E8" s="25" t="s">
        <v>201</v>
      </c>
      <c r="F8" s="25" t="s">
        <v>201</v>
      </c>
      <c r="G8" s="25" t="s">
        <v>209</v>
      </c>
      <c r="H8" s="25" t="s">
        <v>201</v>
      </c>
      <c r="I8" s="25" t="s">
        <v>201</v>
      </c>
      <c r="J8" s="25" t="s">
        <v>201</v>
      </c>
      <c r="K8" s="25" t="s">
        <v>210</v>
      </c>
      <c r="L8" s="25" t="s">
        <v>211</v>
      </c>
      <c r="M8" s="25" t="s">
        <v>212</v>
      </c>
    </row>
    <row r="9" customFormat="false" ht="39.55" hidden="false" customHeight="false" outlineLevel="0" collapsed="false">
      <c r="A9" s="25" t="s">
        <v>213</v>
      </c>
      <c r="B9" s="25" t="s">
        <v>198</v>
      </c>
      <c r="C9" s="25" t="s">
        <v>214</v>
      </c>
      <c r="D9" s="25" t="s">
        <v>215</v>
      </c>
      <c r="E9" s="25" t="s">
        <v>201</v>
      </c>
      <c r="F9" s="25" t="s">
        <v>201</v>
      </c>
      <c r="G9" s="25" t="s">
        <v>216</v>
      </c>
      <c r="H9" s="25" t="s">
        <v>201</v>
      </c>
      <c r="I9" s="25" t="s">
        <v>201</v>
      </c>
      <c r="J9" s="25" t="s">
        <v>201</v>
      </c>
      <c r="K9" s="25"/>
      <c r="L9" s="25" t="s">
        <v>217</v>
      </c>
      <c r="M9" s="25" t="s">
        <v>218</v>
      </c>
    </row>
    <row r="10" customFormat="false" ht="39.55" hidden="false" customHeight="false" outlineLevel="0" collapsed="false">
      <c r="A10" s="25" t="s">
        <v>219</v>
      </c>
      <c r="B10" s="25" t="s">
        <v>220</v>
      </c>
      <c r="C10" s="25" t="s">
        <v>221</v>
      </c>
      <c r="D10" s="25" t="s">
        <v>222</v>
      </c>
      <c r="E10" s="25" t="s">
        <v>201</v>
      </c>
      <c r="F10" s="25" t="s">
        <v>201</v>
      </c>
      <c r="G10" s="25" t="s">
        <v>223</v>
      </c>
      <c r="H10" s="25" t="s">
        <v>201</v>
      </c>
      <c r="I10" s="25" t="s">
        <v>201</v>
      </c>
      <c r="J10" s="25" t="s">
        <v>201</v>
      </c>
      <c r="K10" s="25"/>
      <c r="L10" s="25" t="s">
        <v>224</v>
      </c>
      <c r="M10" s="25" t="s">
        <v>225</v>
      </c>
    </row>
    <row r="11" customFormat="false" ht="39.55" hidden="false" customHeight="false" outlineLevel="0" collapsed="false">
      <c r="A11" s="25" t="s">
        <v>226</v>
      </c>
      <c r="B11" s="25" t="s">
        <v>227</v>
      </c>
      <c r="C11" s="25" t="s">
        <v>228</v>
      </c>
      <c r="D11" s="25" t="s">
        <v>229</v>
      </c>
      <c r="E11" s="25" t="s">
        <v>201</v>
      </c>
      <c r="F11" s="25" t="s">
        <v>201</v>
      </c>
      <c r="G11" s="25" t="s">
        <v>201</v>
      </c>
      <c r="H11" s="25" t="s">
        <v>230</v>
      </c>
      <c r="I11" s="25" t="s">
        <v>201</v>
      </c>
      <c r="J11" s="25" t="s">
        <v>201</v>
      </c>
      <c r="K11" s="25"/>
      <c r="L11" s="25" t="s">
        <v>231</v>
      </c>
      <c r="M11" s="25" t="s">
        <v>232</v>
      </c>
    </row>
    <row r="12" customFormat="false" ht="39.55" hidden="false" customHeight="false" outlineLevel="0" collapsed="false">
      <c r="A12" s="25" t="s">
        <v>233</v>
      </c>
      <c r="B12" s="25" t="s">
        <v>234</v>
      </c>
      <c r="C12" s="25" t="s">
        <v>228</v>
      </c>
      <c r="D12" s="25" t="s">
        <v>235</v>
      </c>
      <c r="E12" s="25" t="s">
        <v>201</v>
      </c>
      <c r="F12" s="25" t="s">
        <v>236</v>
      </c>
      <c r="G12" s="25" t="s">
        <v>201</v>
      </c>
      <c r="H12" s="25" t="s">
        <v>237</v>
      </c>
      <c r="I12" s="25" t="s">
        <v>201</v>
      </c>
      <c r="J12" s="25" t="s">
        <v>201</v>
      </c>
      <c r="K12" s="25"/>
      <c r="L12" s="25" t="s">
        <v>238</v>
      </c>
      <c r="M12" s="25" t="s">
        <v>239</v>
      </c>
    </row>
    <row r="13" customFormat="false" ht="39.55" hidden="false" customHeight="false" outlineLevel="0" collapsed="false">
      <c r="A13" s="25" t="s">
        <v>240</v>
      </c>
      <c r="B13" s="25" t="s">
        <v>241</v>
      </c>
      <c r="C13" s="25" t="s">
        <v>242</v>
      </c>
      <c r="D13" s="25" t="s">
        <v>243</v>
      </c>
      <c r="E13" s="25" t="s">
        <v>201</v>
      </c>
      <c r="F13" s="25" t="s">
        <v>201</v>
      </c>
      <c r="G13" s="25" t="s">
        <v>201</v>
      </c>
      <c r="H13" s="25" t="s">
        <v>201</v>
      </c>
      <c r="I13" s="25" t="s">
        <v>244</v>
      </c>
      <c r="J13" s="25" t="s">
        <v>245</v>
      </c>
      <c r="K13" s="25" t="s">
        <v>246</v>
      </c>
      <c r="L13" s="25" t="s">
        <v>247</v>
      </c>
      <c r="M13" s="25" t="s">
        <v>248</v>
      </c>
    </row>
    <row r="14" customFormat="false" ht="26.85" hidden="false" customHeight="false" outlineLevel="0" collapsed="false">
      <c r="A14" s="25" t="s">
        <v>249</v>
      </c>
      <c r="B14" s="25" t="s">
        <v>241</v>
      </c>
      <c r="C14" s="25" t="s">
        <v>250</v>
      </c>
      <c r="D14" s="25" t="s">
        <v>251</v>
      </c>
      <c r="E14" s="25" t="s">
        <v>252</v>
      </c>
      <c r="F14" s="25" t="s">
        <v>253</v>
      </c>
      <c r="G14" s="25" t="s">
        <v>254</v>
      </c>
      <c r="H14" s="25" t="s">
        <v>201</v>
      </c>
      <c r="I14" s="25" t="s">
        <v>255</v>
      </c>
      <c r="J14" s="25" t="s">
        <v>256</v>
      </c>
      <c r="K14" s="25" t="s">
        <v>257</v>
      </c>
      <c r="L14" s="25" t="s">
        <v>258</v>
      </c>
      <c r="M14" s="25" t="s">
        <v>259</v>
      </c>
    </row>
    <row r="15" customFormat="false" ht="26.85" hidden="false" customHeight="false" outlineLevel="0" collapsed="false">
      <c r="A15" s="25" t="s">
        <v>260</v>
      </c>
      <c r="B15" s="25" t="s">
        <v>241</v>
      </c>
      <c r="C15" s="25" t="s">
        <v>214</v>
      </c>
      <c r="D15" s="25" t="s">
        <v>261</v>
      </c>
      <c r="E15" s="25" t="s">
        <v>262</v>
      </c>
      <c r="F15" s="25" t="s">
        <v>263</v>
      </c>
      <c r="G15" s="25" t="s">
        <v>201</v>
      </c>
      <c r="H15" s="25" t="s">
        <v>201</v>
      </c>
      <c r="I15" s="25" t="s">
        <v>201</v>
      </c>
      <c r="J15" s="25" t="s">
        <v>201</v>
      </c>
      <c r="K15" s="25" t="s">
        <v>264</v>
      </c>
      <c r="L15" s="25"/>
      <c r="M15" s="25" t="s">
        <v>265</v>
      </c>
    </row>
    <row r="16" customFormat="false" ht="52.2" hidden="false" customHeight="false" outlineLevel="0" collapsed="false">
      <c r="A16" s="25" t="s">
        <v>266</v>
      </c>
      <c r="B16" s="25" t="s">
        <v>267</v>
      </c>
      <c r="C16" s="25" t="s">
        <v>268</v>
      </c>
      <c r="D16" s="25" t="s">
        <v>269</v>
      </c>
      <c r="E16" s="25" t="s">
        <v>201</v>
      </c>
      <c r="F16" s="25" t="s">
        <v>270</v>
      </c>
      <c r="G16" s="25" t="s">
        <v>271</v>
      </c>
      <c r="H16" s="25" t="s">
        <v>272</v>
      </c>
      <c r="I16" s="25" t="s">
        <v>273</v>
      </c>
      <c r="J16" s="25" t="s">
        <v>274</v>
      </c>
      <c r="K16" s="25" t="s">
        <v>275</v>
      </c>
      <c r="L16" s="25" t="s">
        <v>276</v>
      </c>
      <c r="M16" s="25" t="s">
        <v>277</v>
      </c>
    </row>
    <row r="17" customFormat="false" ht="26.85" hidden="false" customHeight="false" outlineLevel="0" collapsed="false">
      <c r="A17" s="25" t="s">
        <v>278</v>
      </c>
      <c r="B17" s="25" t="s">
        <v>279</v>
      </c>
      <c r="C17" s="25" t="s">
        <v>268</v>
      </c>
      <c r="D17" s="25" t="s">
        <v>269</v>
      </c>
      <c r="E17" s="25" t="s">
        <v>201</v>
      </c>
      <c r="F17" s="25" t="s">
        <v>280</v>
      </c>
      <c r="G17" s="25" t="s">
        <v>281</v>
      </c>
      <c r="H17" s="25" t="s">
        <v>201</v>
      </c>
      <c r="I17" s="25" t="s">
        <v>201</v>
      </c>
      <c r="J17" s="25" t="s">
        <v>201</v>
      </c>
      <c r="K17" s="25" t="s">
        <v>282</v>
      </c>
      <c r="L17" s="25" t="s">
        <v>283</v>
      </c>
      <c r="M17" s="25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22" t="s">
        <v>285</v>
      </c>
    </row>
    <row r="2" customFormat="false" ht="15" hidden="false" customHeight="false" outlineLevel="0" collapsed="false">
      <c r="A2" s="23" t="s">
        <v>286</v>
      </c>
    </row>
    <row r="4" customFormat="false" ht="26.85" hidden="false" customHeight="false" outlineLevel="0" collapsed="false">
      <c r="A4" s="24" t="s">
        <v>39</v>
      </c>
      <c r="B4" s="24" t="s">
        <v>287</v>
      </c>
      <c r="C4" s="24" t="s">
        <v>288</v>
      </c>
      <c r="D4" s="24" t="s">
        <v>289</v>
      </c>
      <c r="E4" s="24" t="s">
        <v>290</v>
      </c>
      <c r="F4" s="24" t="s">
        <v>291</v>
      </c>
      <c r="G4" s="24" t="s">
        <v>292</v>
      </c>
      <c r="H4" s="24" t="s">
        <v>293</v>
      </c>
      <c r="I4" s="24" t="s">
        <v>294</v>
      </c>
    </row>
    <row r="5" customFormat="false" ht="15" hidden="false" customHeight="false" outlineLevel="0" collapsed="false">
      <c r="A5" s="26" t="s">
        <v>295</v>
      </c>
      <c r="B5" s="26" t="s">
        <v>101</v>
      </c>
      <c r="C5" s="27" t="n">
        <v>136</v>
      </c>
      <c r="D5" s="27" t="n">
        <v>199</v>
      </c>
      <c r="E5" s="27" t="n">
        <v>350</v>
      </c>
      <c r="F5" s="28" t="n">
        <f aca="false">'Rate Card'!$B$25</f>
        <v>200</v>
      </c>
      <c r="G5" s="26" t="str">
        <f aca="false">IF(F5&lt;C5,"Below market",IF(F5&gt;E5,"Above market",IF(F5&lt;D5,"Low end of range","High end of range")))</f>
        <v>High end of range</v>
      </c>
      <c r="H5" s="29" t="n">
        <f aca="false">IF(D5=0,0,F5/D5-1)</f>
        <v>0.00502512562814061</v>
      </c>
      <c r="I5" s="25" t="s">
        <v>296</v>
      </c>
    </row>
    <row r="6" customFormat="false" ht="15" hidden="false" customHeight="false" outlineLevel="0" collapsed="false">
      <c r="A6" s="26" t="s">
        <v>297</v>
      </c>
      <c r="B6" s="26" t="s">
        <v>101</v>
      </c>
      <c r="C6" s="27" t="n">
        <v>200</v>
      </c>
      <c r="D6" s="27" t="n">
        <v>249</v>
      </c>
      <c r="E6" s="27" t="n">
        <v>400</v>
      </c>
      <c r="F6" s="28" t="n">
        <f aca="false">'Rate Card'!$B$25+'Rate Card'!$B$26</f>
        <v>275</v>
      </c>
      <c r="G6" s="26" t="str">
        <f aca="false">IF(F6&lt;C6,"Below market",IF(F6&gt;E6,"Above market",IF(F6&lt;D6,"Low end of range","High end of range")))</f>
        <v>High end of range</v>
      </c>
      <c r="H6" s="29" t="n">
        <f aca="false">IF(D6=0,0,F6/D6-1)</f>
        <v>0.104417670682731</v>
      </c>
      <c r="I6" s="25" t="s">
        <v>298</v>
      </c>
    </row>
    <row r="7" customFormat="false" ht="26.85" hidden="false" customHeight="false" outlineLevel="0" collapsed="false">
      <c r="A7" s="26" t="s">
        <v>299</v>
      </c>
      <c r="B7" s="26" t="s">
        <v>104</v>
      </c>
      <c r="C7" s="27" t="n">
        <v>750</v>
      </c>
      <c r="D7" s="27" t="n">
        <v>1100</v>
      </c>
      <c r="E7" s="27" t="n">
        <v>2000</v>
      </c>
      <c r="F7" s="28" t="n">
        <f aca="false">'Rate Card'!$C$60+'Rate Card'!$B$24</f>
        <v>1100</v>
      </c>
      <c r="G7" s="26" t="str">
        <f aca="false">IF(F7&lt;C7,"Below market",IF(F7&gt;E7,"Above market",IF(F7&lt;D7,"Low end of range","High end of range")))</f>
        <v>High end of range</v>
      </c>
      <c r="H7" s="29" t="n">
        <f aca="false">IF(D7=0,0,F7/D7-1)</f>
        <v>0</v>
      </c>
      <c r="I7" s="25" t="s">
        <v>300</v>
      </c>
    </row>
    <row r="8" customFormat="false" ht="15" hidden="false" customHeight="false" outlineLevel="0" collapsed="false">
      <c r="A8" s="26" t="s">
        <v>301</v>
      </c>
      <c r="B8" s="26" t="s">
        <v>104</v>
      </c>
      <c r="C8" s="27" t="n">
        <v>500</v>
      </c>
      <c r="D8" s="27" t="n">
        <v>850</v>
      </c>
      <c r="E8" s="27" t="n">
        <v>1500</v>
      </c>
      <c r="F8" s="28" t="n">
        <f aca="false">'Rate Card'!$B$60+'Rate Card'!$B$24</f>
        <v>900</v>
      </c>
      <c r="G8" s="26" t="str">
        <f aca="false">IF(F8&lt;C8,"Below market",IF(F8&gt;E8,"Above market",IF(F8&lt;D8,"Low end of range","High end of range")))</f>
        <v>High end of range</v>
      </c>
      <c r="H8" s="29" t="n">
        <f aca="false">IF(D8=0,0,F8/D8-1)</f>
        <v>0.0588235294117647</v>
      </c>
      <c r="I8" s="25" t="s">
        <v>302</v>
      </c>
    </row>
    <row r="9" customFormat="false" ht="15" hidden="false" customHeight="false" outlineLevel="0" collapsed="false">
      <c r="A9" s="26" t="s">
        <v>303</v>
      </c>
      <c r="B9" s="26" t="s">
        <v>304</v>
      </c>
      <c r="C9" s="27" t="n">
        <v>75</v>
      </c>
      <c r="D9" s="27" t="n">
        <v>100</v>
      </c>
      <c r="E9" s="27" t="n">
        <v>300</v>
      </c>
      <c r="F9" s="28" t="n">
        <f aca="false">'Rate Card'!$B$12</f>
        <v>75</v>
      </c>
      <c r="G9" s="26" t="str">
        <f aca="false">IF(F9&lt;C9,"Below market",IF(F9&gt;E9,"Above market",IF(F9&lt;D9,"Low end of range","High end of range")))</f>
        <v>Low end of range</v>
      </c>
      <c r="H9" s="29" t="n">
        <f aca="false">IF(D9=0,0,F9/D9-1)</f>
        <v>-0.25</v>
      </c>
      <c r="I9" s="25" t="s">
        <v>305</v>
      </c>
    </row>
    <row r="10" customFormat="false" ht="15" hidden="false" customHeight="false" outlineLevel="0" collapsed="false">
      <c r="A10" s="26" t="s">
        <v>306</v>
      </c>
      <c r="B10" s="26" t="s">
        <v>307</v>
      </c>
      <c r="C10" s="27" t="n">
        <v>5</v>
      </c>
      <c r="D10" s="27" t="n">
        <v>10</v>
      </c>
      <c r="E10" s="27" t="n">
        <v>15</v>
      </c>
      <c r="F10" s="28" t="n">
        <f aca="false">'Rate Card'!$B$17</f>
        <v>5</v>
      </c>
      <c r="G10" s="26" t="str">
        <f aca="false">IF(F10&lt;C10,"Below market",IF(F10&gt;E10,"Above market",IF(F10&lt;D10,"Low end of range","High end of range")))</f>
        <v>Low end of range</v>
      </c>
      <c r="H10" s="29" t="n">
        <f aca="false">IF(D10=0,0,F10/D10-1)</f>
        <v>-0.5</v>
      </c>
      <c r="I10" s="25" t="s">
        <v>308</v>
      </c>
    </row>
    <row r="11" customFormat="false" ht="15" hidden="false" customHeight="false" outlineLevel="0" collapsed="false">
      <c r="A11" s="26" t="s">
        <v>309</v>
      </c>
      <c r="B11" s="26" t="s">
        <v>92</v>
      </c>
      <c r="C11" s="27" t="n">
        <v>29</v>
      </c>
      <c r="D11" s="27" t="n">
        <v>50</v>
      </c>
      <c r="E11" s="27" t="n">
        <v>100</v>
      </c>
      <c r="F11" s="28" t="n">
        <f aca="false">'Rate Card'!$B$18</f>
        <v>20</v>
      </c>
      <c r="G11" s="26" t="str">
        <f aca="false">IF(F11&lt;C11,"Below market",IF(F11&gt;E11,"Above market",IF(F11&lt;D11,"Low end of range","High end of range")))</f>
        <v>Below market</v>
      </c>
      <c r="H11" s="29" t="n">
        <f aca="false">IF(D11=0,0,F11/D11-1)</f>
        <v>-0.6</v>
      </c>
      <c r="I11" s="25" t="s">
        <v>310</v>
      </c>
    </row>
    <row r="12" customFormat="false" ht="15" hidden="false" customHeight="false" outlineLevel="0" collapsed="false">
      <c r="A12" s="26" t="s">
        <v>311</v>
      </c>
      <c r="B12" s="26" t="s">
        <v>104</v>
      </c>
      <c r="C12" s="27" t="n">
        <v>50</v>
      </c>
      <c r="D12" s="27" t="n">
        <v>60</v>
      </c>
      <c r="E12" s="27" t="n">
        <v>92</v>
      </c>
      <c r="F12" s="28" t="n">
        <f aca="false">'Rate Card'!$B$32</f>
        <v>60</v>
      </c>
      <c r="G12" s="26" t="str">
        <f aca="false">IF(F12&lt;C12,"Below market",IF(F12&gt;E12,"Above market",IF(F12&lt;D12,"Low end of range","High end of range")))</f>
        <v>High end of range</v>
      </c>
      <c r="H12" s="29" t="n">
        <f aca="false">IF(D12=0,0,F12/D12-1)</f>
        <v>0</v>
      </c>
      <c r="I12" s="25" t="s">
        <v>312</v>
      </c>
    </row>
    <row r="13" customFormat="false" ht="15" hidden="false" customHeight="false" outlineLevel="0" collapsed="false">
      <c r="A13" s="26" t="s">
        <v>313</v>
      </c>
      <c r="B13" s="26" t="s">
        <v>92</v>
      </c>
      <c r="C13" s="27" t="n">
        <v>35</v>
      </c>
      <c r="D13" s="27" t="n">
        <v>79</v>
      </c>
      <c r="E13" s="27" t="n">
        <v>149</v>
      </c>
      <c r="F13" s="28" t="n">
        <f aca="false">'Rate Card'!$B$5</f>
        <v>60</v>
      </c>
      <c r="G13" s="26" t="str">
        <f aca="false">IF(F13&lt;C13,"Below market",IF(F13&gt;E13,"Above market",IF(F13&lt;D13,"Low end of range","High end of range")))</f>
        <v>Low end of range</v>
      </c>
      <c r="H13" s="29" t="n">
        <f aca="false">IF(D13=0,0,F13/D13-1)</f>
        <v>-0.240506329113924</v>
      </c>
      <c r="I13" s="25" t="s">
        <v>314</v>
      </c>
    </row>
    <row r="14" customFormat="false" ht="15" hidden="false" customHeight="false" outlineLevel="0" collapsed="false">
      <c r="A14" s="26" t="s">
        <v>315</v>
      </c>
      <c r="B14" s="26" t="s">
        <v>92</v>
      </c>
      <c r="C14" s="27" t="n">
        <v>100</v>
      </c>
      <c r="D14" s="27" t="n">
        <v>250</v>
      </c>
      <c r="E14" s="27" t="n">
        <v>500</v>
      </c>
      <c r="F14" s="28" t="n">
        <f aca="false">'Rate Card'!$B$5+70*'Rate Card'!$B$7</f>
        <v>116</v>
      </c>
      <c r="G14" s="26" t="str">
        <f aca="false">IF(F14&lt;C14,"Below market",IF(F14&gt;E14,"Above market",IF(F14&lt;D14,"Low end of range","High end of range")))</f>
        <v>Low end of range</v>
      </c>
      <c r="H14" s="29" t="n">
        <f aca="false">IF(D14=0,0,F14/D14-1)</f>
        <v>-0.536</v>
      </c>
      <c r="I14" s="25" t="s">
        <v>316</v>
      </c>
    </row>
    <row r="15" customFormat="false" ht="15" hidden="false" customHeight="false" outlineLevel="0" collapsed="false">
      <c r="A15" s="26" t="s">
        <v>317</v>
      </c>
      <c r="B15" s="26" t="s">
        <v>141</v>
      </c>
      <c r="C15" s="27" t="n">
        <v>50</v>
      </c>
      <c r="D15" s="27" t="n">
        <v>100</v>
      </c>
      <c r="E15" s="27" t="n">
        <v>200</v>
      </c>
      <c r="F15" s="28" t="n">
        <f aca="false">'Rate Card'!$B$45</f>
        <v>90</v>
      </c>
      <c r="G15" s="26" t="str">
        <f aca="false">IF(F15&lt;C15,"Below market",IF(F15&gt;E15,"Above market",IF(F15&lt;D15,"Low end of range","High end of range")))</f>
        <v>Low end of range</v>
      </c>
      <c r="H15" s="29" t="n">
        <f aca="false">IF(D15=0,0,F15/D15-1)</f>
        <v>-0.1</v>
      </c>
      <c r="I15" s="25" t="s">
        <v>318</v>
      </c>
    </row>
    <row r="16" customFormat="false" ht="15" hidden="false" customHeight="false" outlineLevel="0" collapsed="false">
      <c r="A16" s="26" t="s">
        <v>80</v>
      </c>
      <c r="B16" s="26" t="s">
        <v>106</v>
      </c>
      <c r="C16" s="27" t="n">
        <v>350</v>
      </c>
      <c r="D16" s="27" t="n">
        <v>450</v>
      </c>
      <c r="E16" s="27" t="n">
        <v>630</v>
      </c>
      <c r="F16" s="28" t="n">
        <f aca="false">'Rate Card'!$B$41</f>
        <v>450</v>
      </c>
      <c r="G16" s="26" t="str">
        <f aca="false">IF(F16&lt;C16,"Below market",IF(F16&gt;E16,"Above market",IF(F16&lt;D16,"Low end of range","High end of range")))</f>
        <v>High end of range</v>
      </c>
      <c r="H16" s="29" t="n">
        <f aca="false">IF(D16=0,0,F16/D16-1)</f>
        <v>0</v>
      </c>
      <c r="I16" s="25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22" t="s">
        <v>320</v>
      </c>
    </row>
    <row r="2" customFormat="false" ht="45" hidden="false" customHeight="true" outlineLevel="0" collapsed="false">
      <c r="A2" s="30" t="s">
        <v>321</v>
      </c>
      <c r="B2" s="30"/>
      <c r="C2" s="30"/>
      <c r="D2" s="30"/>
      <c r="E2" s="30"/>
      <c r="F2" s="30"/>
      <c r="G2" s="30"/>
      <c r="H2" s="30"/>
    </row>
    <row r="4" customFormat="false" ht="26.85" hidden="false" customHeight="false" outlineLevel="0" collapsed="false">
      <c r="A4" s="24" t="s">
        <v>322</v>
      </c>
      <c r="B4" s="24" t="s">
        <v>323</v>
      </c>
      <c r="C4" s="24" t="s">
        <v>324</v>
      </c>
      <c r="D4" s="24" t="s">
        <v>325</v>
      </c>
      <c r="E4" s="24" t="s">
        <v>326</v>
      </c>
      <c r="F4" s="24" t="s">
        <v>327</v>
      </c>
      <c r="G4" s="24" t="s">
        <v>328</v>
      </c>
      <c r="H4" s="24" t="s">
        <v>329</v>
      </c>
    </row>
    <row r="5" customFormat="false" ht="15" hidden="false" customHeight="false" outlineLevel="0" collapsed="false">
      <c r="A5" s="31" t="s">
        <v>330</v>
      </c>
      <c r="B5" s="32"/>
      <c r="C5" s="32"/>
      <c r="D5" s="32"/>
      <c r="E5" s="32"/>
      <c r="F5" s="32"/>
      <c r="G5" s="33" t="n">
        <f aca="false">'Quote Calculator'!C52</f>
        <v>5313.3</v>
      </c>
      <c r="H5" s="26" t="s">
        <v>331</v>
      </c>
    </row>
    <row r="6" customFormat="false" ht="15" hidden="false" customHeight="false" outlineLevel="0" collapsed="false">
      <c r="A6" s="26" t="s">
        <v>332</v>
      </c>
      <c r="B6" s="27" t="n">
        <v>480</v>
      </c>
      <c r="C6" s="32" t="n">
        <f aca="false">'Market Comparison'!D13*12</f>
        <v>948</v>
      </c>
      <c r="D6" s="32" t="n">
        <f aca="false">4*'Market Comparison'!D9</f>
        <v>400</v>
      </c>
      <c r="E6" s="32" t="n">
        <f aca="false">'Market Comparison'!D11*12</f>
        <v>600</v>
      </c>
      <c r="F6" s="32" t="n">
        <f aca="false">2*'Market Comparison'!D5</f>
        <v>398</v>
      </c>
      <c r="G6" s="33" t="n">
        <f aca="false">SUM(B6:F6)</f>
        <v>2826</v>
      </c>
      <c r="H6" s="26" t="s">
        <v>333</v>
      </c>
    </row>
    <row r="7" customFormat="false" ht="15" hidden="false" customHeight="false" outlineLevel="0" collapsed="false">
      <c r="A7" s="26" t="s">
        <v>334</v>
      </c>
      <c r="B7" s="27" t="n">
        <v>240</v>
      </c>
      <c r="C7" s="32" t="n">
        <f aca="false">'Market Comparison'!D13*12</f>
        <v>948</v>
      </c>
      <c r="D7" s="32" t="n">
        <f aca="false">4*'Market Comparison'!D9</f>
        <v>400</v>
      </c>
      <c r="E7" s="32" t="n">
        <f aca="false">'Market Comparison'!D11*12</f>
        <v>600</v>
      </c>
      <c r="F7" s="32" t="n">
        <f aca="false">2*'Market Comparison'!D5</f>
        <v>398</v>
      </c>
      <c r="G7" s="33" t="n">
        <f aca="false">SUM(B7:F7)</f>
        <v>2586</v>
      </c>
      <c r="H7" s="26" t="s">
        <v>335</v>
      </c>
    </row>
    <row r="8" customFormat="false" ht="15" hidden="false" customHeight="false" outlineLevel="0" collapsed="false">
      <c r="A8" s="26" t="s">
        <v>336</v>
      </c>
      <c r="B8" s="27" t="n">
        <v>0</v>
      </c>
      <c r="C8" s="32" t="n">
        <f aca="false">'Market Comparison'!D13*12</f>
        <v>948</v>
      </c>
      <c r="D8" s="32" t="n">
        <f aca="false">4*89</f>
        <v>356</v>
      </c>
      <c r="E8" s="32" t="n">
        <f aca="false">12*29</f>
        <v>348</v>
      </c>
      <c r="F8" s="32" t="n">
        <f aca="false">2*'Market Comparison'!D5</f>
        <v>398</v>
      </c>
      <c r="G8" s="33" t="n">
        <f aca="false">SUM(B8:F8)+'Market Comparison'!D7</f>
        <v>3150</v>
      </c>
      <c r="H8" s="26" t="s">
        <v>337</v>
      </c>
    </row>
    <row r="9" customFormat="false" ht="15" hidden="false" customHeight="false" outlineLevel="0" collapsed="false">
      <c r="A9" s="26" t="s">
        <v>338</v>
      </c>
      <c r="B9" s="27" t="n">
        <v>0</v>
      </c>
      <c r="C9" s="32" t="n">
        <f aca="false">'Market Comparison'!D13*12</f>
        <v>948</v>
      </c>
      <c r="D9" s="32" t="n">
        <f aca="false">4*'Market Comparison'!D9</f>
        <v>400</v>
      </c>
      <c r="E9" s="32" t="n">
        <f aca="false">MAX('Market Comparison'!D11,3*'Market Comparison'!D10)*12</f>
        <v>600</v>
      </c>
      <c r="F9" s="32" t="n">
        <f aca="false">2*'Market Comparison'!D5</f>
        <v>398</v>
      </c>
      <c r="G9" s="33" t="n">
        <f aca="false">SUM(B9:F9)+'Market Comparison'!D7</f>
        <v>3446</v>
      </c>
      <c r="H9" s="26" t="s">
        <v>339</v>
      </c>
    </row>
    <row r="11" customFormat="false" ht="15" hidden="false" customHeight="false" outlineLevel="0" collapsed="false">
      <c r="A11" s="31" t="s">
        <v>340</v>
      </c>
      <c r="G11" s="33" t="n">
        <f aca="false">G5-MIN(G6:G9)</f>
        <v>2727.3</v>
      </c>
    </row>
    <row r="12" customFormat="false" ht="15" hidden="false" customHeight="false" outlineLevel="0" collapsed="false">
      <c r="A12" s="23" t="s">
        <v>341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2026-10-23T19:18:07Z</dcterms:created>
  <dc:creator>openpyxl</dc:creator>
  <dc:description/>
  <dc:language>en-US</dc:language>
  <cp:lastModifiedBy/>
  <dcterms:modified xsi:type="dcterms:W3CDTF">2026-10-23T22:33:33Z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